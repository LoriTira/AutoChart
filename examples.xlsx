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8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lorenzo/Desktop/MIT/code/aiLab/"/>
    </mc:Choice>
  </mc:AlternateContent>
  <xr:revisionPtr revIDLastSave="0" documentId="13_ncr:1_{1A0251F0-B4D7-0C4F-B909-7CE139708D79}" xr6:coauthVersionLast="47" xr6:coauthVersionMax="47" xr10:uidLastSave="{00000000-0000-0000-0000-000000000000}"/>
  <bookViews>
    <workbookView xWindow="-19940" yWindow="-28200" windowWidth="68800" windowHeight="26900" activeTab="15" xr2:uid="{28DED50F-178D-4776-BD78-DB29CF578B9A}"/>
  </bookViews>
  <sheets>
    <sheet name="INPUT-1" sheetId="3" r:id="rId1"/>
    <sheet name="OUTPUT-1" sheetId="4" r:id="rId2"/>
    <sheet name="INPUT-2" sheetId="5" r:id="rId3"/>
    <sheet name="OUTPUT-2" sheetId="6" r:id="rId4"/>
    <sheet name="INPUT-3" sheetId="18" r:id="rId5"/>
    <sheet name="OUTPUT-3" sheetId="7" r:id="rId6"/>
    <sheet name="INPUT-4" sheetId="8" r:id="rId7"/>
    <sheet name="OUTPUT-4" sheetId="9" r:id="rId8"/>
    <sheet name="INPUT-5" sheetId="11" r:id="rId9"/>
    <sheet name="OUTPUT-5" sheetId="12" r:id="rId10"/>
    <sheet name="INPUT-6" sheetId="13" r:id="rId11"/>
    <sheet name="OUTPUT-6" sheetId="14" r:id="rId12"/>
    <sheet name="INPUT-7" sheetId="20" r:id="rId13"/>
    <sheet name="OUTPUT-7" sheetId="15" r:id="rId14"/>
    <sheet name="INPUT-8" sheetId="16" r:id="rId15"/>
    <sheet name="OUTPUT-8" sheetId="17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8" l="1"/>
  <c r="C11" i="5"/>
</calcChain>
</file>

<file path=xl/sharedStrings.xml><?xml version="1.0" encoding="utf-8"?>
<sst xmlns="http://schemas.openxmlformats.org/spreadsheetml/2006/main" count="632" uniqueCount="125">
  <si>
    <t>raceotheraar</t>
  </si>
  <si>
    <t>Deaths</t>
  </si>
  <si>
    <t>AAR</t>
  </si>
  <si>
    <t>95% Confidence
Interval</t>
  </si>
  <si>
    <t>.</t>
  </si>
  <si>
    <t>(.-.)</t>
  </si>
  <si>
    <t>Asian nL</t>
  </si>
  <si>
    <t>other</t>
  </si>
  <si>
    <t>Testing 'Cancer'</t>
  </si>
  <si>
    <t>Comparison</t>
  </si>
  <si>
    <t>rate_ratio</t>
  </si>
  <si>
    <t>p-value</t>
  </si>
  <si>
    <t>Percent Difference</t>
  </si>
  <si>
    <t>R-O</t>
  </si>
  <si>
    <t xml:space="preserve">DATA SOURCE: Boston resident deaths, Massachusetts Department of Public Health 
</t>
  </si>
  <si>
    <t>Black nL</t>
  </si>
  <si>
    <t>&lt;.0001</t>
  </si>
  <si>
    <t>genderaar</t>
  </si>
  <si>
    <t>Female</t>
  </si>
  <si>
    <t>Latinx</t>
  </si>
  <si>
    <t>Male</t>
  </si>
  <si>
    <r>
      <t>Chart Set A: Race vs Boston overall and Rest of Boston</t>
    </r>
    <r>
      <rPr>
        <sz val="11"/>
        <rFont val="Calibri"/>
        <family val="2"/>
      </rPr>
      <t> </t>
    </r>
  </si>
  <si>
    <t>Boston</t>
  </si>
  <si>
    <t>Asian</t>
  </si>
  <si>
    <t>Rest of Boston</t>
  </si>
  <si>
    <t>Boston Overall</t>
  </si>
  <si>
    <t>All Cancer Mortality</t>
  </si>
  <si>
    <r>
      <t>Cancer Mortality</t>
    </r>
    <r>
      <rPr>
        <b/>
        <vertAlign val="superscript"/>
        <sz val="11"/>
        <color rgb="FF000000"/>
        <rFont val="Aptos Narrow"/>
        <family val="2"/>
        <scheme val="minor"/>
      </rPr>
      <t>†</t>
    </r>
    <r>
      <rPr>
        <b/>
        <sz val="11"/>
        <color rgb="FF000000"/>
        <rFont val="Aptos Narrow"/>
        <family val="2"/>
        <scheme val="minor"/>
      </rPr>
      <t xml:space="preserve"> for Asian Residents, 2017-2023</t>
    </r>
  </si>
  <si>
    <t>Black</t>
  </si>
  <si>
    <r>
      <t>Cancer Mortality</t>
    </r>
    <r>
      <rPr>
        <b/>
        <vertAlign val="superscript"/>
        <sz val="11"/>
        <color rgb="FF000000"/>
        <rFont val="Aptos Narrow"/>
        <family val="2"/>
        <scheme val="minor"/>
      </rPr>
      <t>†</t>
    </r>
    <r>
      <rPr>
        <b/>
        <sz val="11"/>
        <color rgb="FF000000"/>
        <rFont val="Aptos Narrow"/>
        <family val="2"/>
        <scheme val="minor"/>
      </rPr>
      <t xml:space="preserve"> for Black Residents, 2017-2023</t>
    </r>
  </si>
  <si>
    <r>
      <t>Cancer Mortality</t>
    </r>
    <r>
      <rPr>
        <b/>
        <vertAlign val="superscript"/>
        <sz val="11"/>
        <color rgb="FF000000"/>
        <rFont val="Aptos Narrow"/>
        <family val="2"/>
        <scheme val="minor"/>
      </rPr>
      <t>†</t>
    </r>
    <r>
      <rPr>
        <b/>
        <sz val="11"/>
        <color rgb="FF000000"/>
        <rFont val="Aptos Narrow"/>
        <family val="2"/>
        <scheme val="minor"/>
      </rPr>
      <t xml:space="preserve"> for Latinx Residents, 2017-2023</t>
    </r>
  </si>
  <si>
    <t>Boston 'Cancer' Mortality by raceaar combined years, AARs per 100000 Residents</t>
  </si>
  <si>
    <t>Boston 'Cancer' Mortality by raceaar from 2018-2024 comb. yrs.</t>
  </si>
  <si>
    <t>raceaar</t>
  </si>
  <si>
    <t>White nL</t>
  </si>
  <si>
    <t>A - W</t>
  </si>
  <si>
    <t>B - W</t>
  </si>
  <si>
    <t>L - W</t>
  </si>
  <si>
    <r>
      <t>Chart Set B: Race vs White residents (reference group)</t>
    </r>
    <r>
      <rPr>
        <sz val="11"/>
        <rFont val="Calibri"/>
        <family val="2"/>
      </rPr>
      <t> </t>
    </r>
  </si>
  <si>
    <t>Provide one chart per race group. </t>
  </si>
  <si>
    <t>Each chart should include: </t>
  </si>
  <si>
    <t>Bar for the specific race group </t>
  </si>
  <si>
    <t>Bar for White residents </t>
  </si>
  <si>
    <t>Bar for Boston overall </t>
  </si>
  <si>
    <t>Confidence intervals (if applicable) </t>
  </si>
  <si>
    <t>Chart title </t>
  </si>
  <si>
    <t>Axis labels </t>
  </si>
  <si>
    <t>Notes/footnotes </t>
  </si>
  <si>
    <t>Corresponding descriptive appendix text </t>
  </si>
  <si>
    <t>White</t>
  </si>
  <si>
    <r>
      <t>Cancer Mortality</t>
    </r>
    <r>
      <rPr>
        <b/>
        <vertAlign val="superscript"/>
        <sz val="11"/>
        <color theme="1"/>
        <rFont val="Aptos Narrow"/>
        <family val="2"/>
        <scheme val="minor"/>
      </rPr>
      <t>†</t>
    </r>
    <r>
      <rPr>
        <b/>
        <sz val="11"/>
        <color theme="1"/>
        <rFont val="Aptos Narrow"/>
        <family val="2"/>
        <scheme val="minor"/>
      </rPr>
      <t>, Asian Residents Compared to White Residents, 2018-2024</t>
    </r>
  </si>
  <si>
    <r>
      <t>Cancer Mortality</t>
    </r>
    <r>
      <rPr>
        <b/>
        <vertAlign val="superscript"/>
        <sz val="11"/>
        <color theme="1"/>
        <rFont val="Aptos Narrow"/>
        <family val="2"/>
        <scheme val="minor"/>
      </rPr>
      <t>†</t>
    </r>
    <r>
      <rPr>
        <b/>
        <sz val="11"/>
        <color theme="1"/>
        <rFont val="Aptos Narrow"/>
        <family val="2"/>
        <scheme val="minor"/>
      </rPr>
      <t>, Black Residents Compared to White Residents, 2018-2024</t>
    </r>
  </si>
  <si>
    <r>
      <t>Cancer Mortality</t>
    </r>
    <r>
      <rPr>
        <b/>
        <vertAlign val="superscript"/>
        <sz val="11"/>
        <color theme="1"/>
        <rFont val="Aptos Narrow"/>
        <family val="2"/>
        <scheme val="minor"/>
      </rPr>
      <t>†</t>
    </r>
    <r>
      <rPr>
        <b/>
        <sz val="11"/>
        <color theme="1"/>
        <rFont val="Aptos Narrow"/>
        <family val="2"/>
        <scheme val="minor"/>
      </rPr>
      <t>, Latinx Residents Compared to White Residents, 2018-2024</t>
    </r>
  </si>
  <si>
    <r>
      <t>Chart Set C: Combined race comparison chart</t>
    </r>
    <r>
      <rPr>
        <sz val="11"/>
        <rFont val="Calibri"/>
        <family val="2"/>
      </rPr>
      <t> </t>
    </r>
  </si>
  <si>
    <t>Provide one chart including: </t>
  </si>
  <si>
    <t>Bars for all race groups </t>
  </si>
  <si>
    <r>
      <t>Cancer Mortality</t>
    </r>
    <r>
      <rPr>
        <b/>
        <vertAlign val="superscript"/>
        <sz val="11"/>
        <color theme="1"/>
        <rFont val="Aptos Narrow"/>
        <family val="2"/>
        <scheme val="minor"/>
      </rPr>
      <t>†</t>
    </r>
    <r>
      <rPr>
        <b/>
        <sz val="11"/>
        <color theme="1"/>
        <rFont val="Aptos Narrow"/>
        <family val="2"/>
        <scheme val="minor"/>
      </rPr>
      <t xml:space="preserve"> by Race, 2018-2024</t>
    </r>
  </si>
  <si>
    <t>Boston 'Cancer' Mortality by genderaar combined years, AARs per 100000 Residents</t>
  </si>
  <si>
    <t>Boston 'Cancer' Mortality by genderaar from 2018-2024 comb.
yrs.</t>
  </si>
  <si>
    <t>(104.2-112.3)</t>
  </si>
  <si>
    <t>(145.6-155.8)</t>
  </si>
  <si>
    <t>F-M</t>
  </si>
  <si>
    <t>Boston 'Cancer' Mortality by genderaar and raceaar combined years, AARs per 100000 Residents</t>
  </si>
  <si>
    <t>Boston 'Cancer' Mortality by genderaar raceaar from 2018-2024 comb. yrs.</t>
  </si>
  <si>
    <t>(79.8-101.8)</t>
  </si>
  <si>
    <t>(124.0-144.6)</t>
  </si>
  <si>
    <t>(62.9-78.0)</t>
  </si>
  <si>
    <t>(111.7-124.7)</t>
  </si>
  <si>
    <t>(125.0-153.8)</t>
  </si>
  <si>
    <t>(180.7-207.7)</t>
  </si>
  <si>
    <t>(109.6-130.6)</t>
  </si>
  <si>
    <t>(143.2-158.3)</t>
  </si>
  <si>
    <r>
      <t>Part 3: Sex- and Race-Stratified Charts</t>
    </r>
    <r>
      <rPr>
        <sz val="11"/>
        <rFont val="Calibri"/>
        <family val="2"/>
      </rPr>
      <t> </t>
    </r>
  </si>
  <si>
    <r>
      <t>Cancer Mortality</t>
    </r>
    <r>
      <rPr>
        <b/>
        <vertAlign val="superscript"/>
        <sz val="11"/>
        <color theme="1"/>
        <rFont val="Aptos Narrow"/>
        <family val="2"/>
        <scheme val="minor"/>
      </rPr>
      <t>†</t>
    </r>
    <r>
      <rPr>
        <b/>
        <sz val="11"/>
        <color theme="1"/>
        <rFont val="Aptos Narrow"/>
        <family val="2"/>
        <scheme val="minor"/>
      </rPr>
      <t xml:space="preserve"> by Sex and Race, 2018-2024</t>
    </r>
  </si>
  <si>
    <t>Boston cerebro Hospitalizations AAR by boston, cerebrobos combined years, AARs per 10000 Residents</t>
  </si>
  <si>
    <t>Boston cerebro Hospitalizations by boston 2018-2024 comb. yrs.</t>
  </si>
  <si>
    <t>boston</t>
  </si>
  <si>
    <t>HPEs</t>
  </si>
  <si>
    <t>(7.5-8.0)</t>
  </si>
  <si>
    <t>Boston cerebro Hospitalizations AAR by genderaar, cerebrobos combined years, AARs per 10000 Residents</t>
  </si>
  <si>
    <t>Boston cerebro Hospitalizations by genderaar 2018-2024 comb. yrs.</t>
  </si>
  <si>
    <t>(6.4-7.0)</t>
  </si>
  <si>
    <t>(8.8-9.6)</t>
  </si>
  <si>
    <t>DATA SOURCE: Acute Hospital Case Mix Databases, Massachusetts Center for Health Information and 
Analysis
DATA ANALYSIS: Boston Public Health Commission Research and Evaluation Office</t>
  </si>
  <si>
    <t>Testing cerebro</t>
  </si>
  <si>
    <t>Boston cerebro Hospitalizations AAR by raceotheraar, cerebro_asian combined years, AARs per 10000 Residents</t>
  </si>
  <si>
    <t>Boston cerebro Hospitalizations by raceotheraar 2018-2024 comb. yrs.</t>
  </si>
  <si>
    <t>(4.2-5.4)</t>
  </si>
  <si>
    <t>(7.5-8.1)</t>
  </si>
  <si>
    <t>Boston cerebro Hospitalizations AAR by genderaar and raceotheraar, cerebro_asian combined years, AARs per 10000 Residents</t>
  </si>
  <si>
    <t>Boston cerebro Hospitalizations by genderaar raceotheraar 2018-2024 comb. yrs.</t>
  </si>
  <si>
    <t>(3.3-4.8)</t>
  </si>
  <si>
    <t>(6.4-7.1)</t>
  </si>
  <si>
    <t>(5.0-6.9)</t>
  </si>
  <si>
    <t>(8.7-9.6)</t>
  </si>
  <si>
    <t>Boston cerebro Hospitalizations AAR by raceotheraar, cerebroblack combined years, AARs per 10000 Residents</t>
  </si>
  <si>
    <t>(12.8-14.4)</t>
  </si>
  <si>
    <t>(5.5-6.0)</t>
  </si>
  <si>
    <t>Boston cerebro Hospitalizations AAR by genderaar and raceotheraar, cerebroblack combined years, AARs per 10000 Residents</t>
  </si>
  <si>
    <t>(11.0-13.0)</t>
  </si>
  <si>
    <t>(4.4-5.0)</t>
  </si>
  <si>
    <t>(14.7-17.1)</t>
  </si>
  <si>
    <t>(6.6-7.4)</t>
  </si>
  <si>
    <t>Boston cerebro Hospitalizations AAR by raceotheraar, cerebrolatinx combined years, AARs per 10000 Residents</t>
  </si>
  <si>
    <t>(6.9-8.0)</t>
  </si>
  <si>
    <t>(7.3-7.8)</t>
  </si>
  <si>
    <t>Boston cerebro Hospitalizations AAR by genderaar and raceotheraar, cerebrolatinx combined years, AARs per 10000 Residents</t>
  </si>
  <si>
    <t xml:space="preserve">DATA SOURCE: Acute Hospital Case Mix Databases, Massachusetts Center for Health Information and 
Analysis
</t>
  </si>
  <si>
    <t>Provide one chart per race group (typically 3 charts total: Asian, Black, Latinx). </t>
  </si>
  <si>
    <t>Bar for Rest of Boston </t>
  </si>
  <si>
    <r>
      <t>Cerebrovascular Hospitalizations</t>
    </r>
    <r>
      <rPr>
        <b/>
        <vertAlign val="superscript"/>
        <sz val="11"/>
        <color rgb="FF000000"/>
        <rFont val="Aptos Narrow"/>
        <family val="2"/>
        <scheme val="minor"/>
      </rPr>
      <t>†</t>
    </r>
    <r>
      <rPr>
        <b/>
        <sz val="11"/>
        <color rgb="FF000000"/>
        <rFont val="Aptos Narrow"/>
        <family val="2"/>
        <scheme val="minor"/>
      </rPr>
      <t xml:space="preserve"> for Asian Residents, 2018-2024</t>
    </r>
  </si>
  <si>
    <r>
      <t>Cerebrovascular Hospitalizations</t>
    </r>
    <r>
      <rPr>
        <b/>
        <vertAlign val="superscript"/>
        <sz val="11"/>
        <color rgb="FF000000"/>
        <rFont val="Aptos Narrow"/>
        <family val="2"/>
        <scheme val="minor"/>
      </rPr>
      <t>†</t>
    </r>
    <r>
      <rPr>
        <b/>
        <sz val="11"/>
        <color rgb="FF000000"/>
        <rFont val="Aptos Narrow"/>
        <family val="2"/>
        <scheme val="minor"/>
      </rPr>
      <t xml:space="preserve"> for Black Residents, 2018-2024</t>
    </r>
  </si>
  <si>
    <r>
      <t>Cerebrovascular Hospitalizations</t>
    </r>
    <r>
      <rPr>
        <b/>
        <vertAlign val="superscript"/>
        <sz val="11"/>
        <color rgb="FF000000"/>
        <rFont val="Aptos Narrow"/>
        <family val="2"/>
        <scheme val="minor"/>
      </rPr>
      <t>†</t>
    </r>
    <r>
      <rPr>
        <b/>
        <sz val="11"/>
        <color rgb="FF000000"/>
        <rFont val="Aptos Narrow"/>
        <family val="2"/>
        <scheme val="minor"/>
      </rPr>
      <t xml:space="preserve"> for Latinx Residents, 2018-2024</t>
    </r>
  </si>
  <si>
    <t>Boston cerebro Hospitalizations AAR by raceaar, cerebrobos combined years, AARs per 10000 Residents</t>
  </si>
  <si>
    <t>Boston cerebro Hospitalizations by raceaar 2018-2024 comb. yrs.</t>
  </si>
  <si>
    <t>Asian_nL</t>
  </si>
  <si>
    <t>Black_nL</t>
  </si>
  <si>
    <t>White_nL</t>
  </si>
  <si>
    <r>
      <t>Cerebrovascular Hospitalizations</t>
    </r>
    <r>
      <rPr>
        <b/>
        <vertAlign val="superscript"/>
        <sz val="11"/>
        <color theme="1"/>
        <rFont val="Aptos Narrow"/>
        <family val="2"/>
        <scheme val="minor"/>
      </rPr>
      <t>†</t>
    </r>
    <r>
      <rPr>
        <b/>
        <sz val="11"/>
        <color theme="1"/>
        <rFont val="Aptos Narrow"/>
        <family val="2"/>
        <scheme val="minor"/>
      </rPr>
      <t>, Asian Residents Compared to White Residents, 2018-2024</t>
    </r>
  </si>
  <si>
    <r>
      <t>Cerebrovascular Hospitalizations</t>
    </r>
    <r>
      <rPr>
        <b/>
        <vertAlign val="superscript"/>
        <sz val="11"/>
        <color theme="1"/>
        <rFont val="Aptos Narrow"/>
        <family val="2"/>
        <scheme val="minor"/>
      </rPr>
      <t>†</t>
    </r>
    <r>
      <rPr>
        <b/>
        <sz val="11"/>
        <color theme="1"/>
        <rFont val="Aptos Narrow"/>
        <family val="2"/>
        <scheme val="minor"/>
      </rPr>
      <t>, Black Residents Compared to White Residents, 2018-2024</t>
    </r>
  </si>
  <si>
    <r>
      <t>Cerebrovascular Hospitalizations</t>
    </r>
    <r>
      <rPr>
        <b/>
        <vertAlign val="superscript"/>
        <sz val="11"/>
        <color theme="1"/>
        <rFont val="Aptos Narrow"/>
        <family val="2"/>
        <scheme val="minor"/>
      </rPr>
      <t>†</t>
    </r>
    <r>
      <rPr>
        <b/>
        <sz val="11"/>
        <color theme="1"/>
        <rFont val="Aptos Narrow"/>
        <family val="2"/>
        <scheme val="minor"/>
      </rPr>
      <t>, Latinx Residents Compared to White Residents, 2018-2024</t>
    </r>
  </si>
  <si>
    <r>
      <t>Cerebrovascular Hospitalizations</t>
    </r>
    <r>
      <rPr>
        <b/>
        <vertAlign val="superscript"/>
        <sz val="11"/>
        <color theme="1"/>
        <rFont val="Aptos Narrow"/>
        <family val="2"/>
        <scheme val="minor"/>
      </rPr>
      <t>†</t>
    </r>
    <r>
      <rPr>
        <b/>
        <sz val="11"/>
        <color theme="1"/>
        <rFont val="Aptos Narrow"/>
        <family val="2"/>
        <scheme val="minor"/>
      </rPr>
      <t xml:space="preserve"> by Race, 2018-2024</t>
    </r>
  </si>
  <si>
    <t>Boston cerebro Hospitalizations AAR by genderaar and raceaar, cerebrobos combined years, AARs per 10000 Residents</t>
  </si>
  <si>
    <t>Boston cerebro Hospitalizations by genderaar raceaar 2018-2024 comb. yrs.</t>
  </si>
  <si>
    <r>
      <t>Cerebrovascular Hospitalizations</t>
    </r>
    <r>
      <rPr>
        <b/>
        <vertAlign val="superscript"/>
        <sz val="11"/>
        <color theme="1"/>
        <rFont val="Aptos Narrow"/>
        <family val="2"/>
        <scheme val="minor"/>
      </rPr>
      <t>†</t>
    </r>
    <r>
      <rPr>
        <b/>
        <sz val="11"/>
        <color theme="1"/>
        <rFont val="Aptos Narrow"/>
        <family val="2"/>
        <scheme val="minor"/>
      </rPr>
      <t xml:space="preserve"> by Sex and Race, 2018-2024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</si>
</sst>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#0.00"/>
    <numFmt numFmtId="165" formatCode="0.0000"/>
    <numFmt numFmtId="166" formatCode="#####0.0"/>
    <numFmt numFmtId="167" formatCode="0.0"/>
    <numFmt numFmtId="168" formatCode="#######0"/>
  </numFmts>
  <fonts count="1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lbany AMT"/>
    </font>
    <font>
      <b/>
      <sz val="8"/>
      <color rgb="FF000000"/>
      <name val="Albany AMT"/>
    </font>
    <font>
      <b/>
      <sz val="11"/>
      <name val="Calibri"/>
      <family val="2"/>
    </font>
    <font>
      <sz val="11"/>
      <name val="Calibri"/>
      <family val="2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2"/>
      <color rgb="FF000000"/>
      <name val="Calibri"/>
      <family val="2"/>
    </font>
    <font>
      <b/>
      <vertAlign val="superscript"/>
      <sz val="11"/>
      <color rgb="FF000000"/>
      <name val="Aptos Narrow"/>
      <family val="2"/>
      <scheme val="minor"/>
    </font>
    <font>
      <sz val="12"/>
      <color rgb="FF000000"/>
      <name val="Calibri"/>
      <family val="2"/>
    </font>
    <font>
      <b/>
      <vertAlign val="superscript"/>
      <sz val="11"/>
      <color theme="1"/>
      <name val="Aptos Narrow"/>
      <family val="2"/>
      <scheme val="minor"/>
    </font>
    <font>
      <sz val="11"/>
      <color theme="1"/>
      <name val="Montserrat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164" fontId="0" fillId="0" borderId="0" xfId="0" applyNumberFormat="1" applyAlignment="1">
      <alignment horizontal="right"/>
    </xf>
    <xf numFmtId="165" fontId="0" fillId="3" borderId="0" xfId="0" applyNumberFormat="1" applyFill="1" applyAlignment="1">
      <alignment horizontal="center"/>
    </xf>
    <xf numFmtId="166" fontId="0" fillId="0" borderId="0" xfId="0" applyNumberFormat="1" applyAlignment="1">
      <alignment horizontal="right"/>
    </xf>
    <xf numFmtId="0" fontId="1" fillId="0" borderId="0" xfId="0" applyFont="1"/>
    <xf numFmtId="0" fontId="4" fillId="0" borderId="0" xfId="0" applyFont="1" applyAlignment="1">
      <alignment horizontal="left" vertical="center"/>
    </xf>
    <xf numFmtId="0" fontId="6" fillId="0" borderId="0" xfId="0" applyFont="1"/>
    <xf numFmtId="0" fontId="7" fillId="4" borderId="4" xfId="0" applyFont="1" applyFill="1" applyBorder="1" applyAlignment="1">
      <alignment horizontal="center" wrapText="1"/>
    </xf>
    <xf numFmtId="0" fontId="7" fillId="4" borderId="5" xfId="0" applyFont="1" applyFill="1" applyBorder="1" applyAlignment="1">
      <alignment horizontal="center" wrapText="1"/>
    </xf>
    <xf numFmtId="0" fontId="6" fillId="0" borderId="5" xfId="0" applyFont="1" applyBorder="1"/>
    <xf numFmtId="0" fontId="8" fillId="5" borderId="6" xfId="0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6" borderId="0" xfId="0" applyFont="1" applyFill="1"/>
    <xf numFmtId="0" fontId="7" fillId="0" borderId="0" xfId="0" applyFont="1"/>
    <xf numFmtId="0" fontId="10" fillId="5" borderId="6" xfId="0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7" borderId="6" xfId="0" applyFont="1" applyFill="1" applyBorder="1" applyAlignment="1">
      <alignment horizontal="center"/>
    </xf>
    <xf numFmtId="167" fontId="10" fillId="0" borderId="6" xfId="0" applyNumberFormat="1" applyFont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12" fillId="0" borderId="0" xfId="0" applyFont="1"/>
    <xf numFmtId="165" fontId="0" fillId="0" borderId="0" xfId="0" applyNumberFormat="1" applyAlignment="1">
      <alignment horizontal="center"/>
    </xf>
    <xf numFmtId="168" fontId="0" fillId="0" borderId="0" xfId="0" applyNumberFormat="1" applyAlignment="1">
      <alignment horizontal="right"/>
    </xf>
    <xf numFmtId="0" fontId="0" fillId="7" borderId="0" xfId="0" applyFill="1"/>
    <xf numFmtId="167" fontId="0" fillId="7" borderId="0" xfId="0" applyNumberFormat="1" applyFill="1"/>
    <xf numFmtId="167" fontId="0" fillId="0" borderId="0" xfId="0" applyNumberFormat="1"/>
    <xf numFmtId="0" fontId="10" fillId="8" borderId="6" xfId="0" applyFont="1" applyFill="1" applyBorder="1" applyAlignment="1">
      <alignment horizontal="center"/>
    </xf>
    <xf numFmtId="167" fontId="10" fillId="8" borderId="6" xfId="0" applyNumberFormat="1" applyFont="1" applyFill="1" applyBorder="1" applyAlignment="1">
      <alignment horizontal="center"/>
    </xf>
    <xf numFmtId="0" fontId="8" fillId="8" borderId="6" xfId="0" applyFont="1" applyFill="1" applyBorder="1" applyAlignment="1">
      <alignment horizontal="center"/>
    </xf>
    <xf numFmtId="167" fontId="8" fillId="8" borderId="6" xfId="0" applyNumberFormat="1" applyFont="1" applyFill="1" applyBorder="1" applyAlignment="1">
      <alignment horizontal="center"/>
    </xf>
    <xf numFmtId="167" fontId="8" fillId="0" borderId="6" xfId="0" applyNumberFormat="1" applyFont="1" applyBorder="1" applyAlignment="1">
      <alignment horizontal="center"/>
    </xf>
    <xf numFmtId="0" fontId="0" fillId="8" borderId="0" xfId="0" applyFill="1"/>
    <xf numFmtId="0" fontId="13" fillId="0" borderId="0" xfId="0" applyFont="1" applyAlignment="1">
      <alignment horizontal="left" vertical="center"/>
    </xf>
    <xf numFmtId="167" fontId="0" fillId="8" borderId="0" xfId="0" applyNumberFormat="1" applyFill="1"/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0" fillId="2" borderId="0" xfId="0" applyFill="1" applyAlignment="1">
      <alignment horizontal="left" wrapText="1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left" wrapText="1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'OUTPUT-1'!$A$5</c:f>
              <c:strCache>
                <c:ptCount val="1"/>
                <c:pt idx="0">
                  <c:v>All Cancer Mortality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38E-4C3A-A3A0-0629FF5E5986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38E-4C3A-A3A0-0629FF5E5986}"/>
              </c:ext>
            </c:extLst>
          </c:dPt>
          <c:dPt>
            <c:idx val="4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38E-4C3A-A3A0-0629FF5E5986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38E-4C3A-A3A0-0629FF5E5986}"/>
              </c:ext>
            </c:extLst>
          </c:dPt>
          <c:dPt>
            <c:idx val="7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38E-4C3A-A3A0-0629FF5E5986}"/>
              </c:ext>
            </c:extLst>
          </c:dPt>
          <c:dPt>
            <c:idx val="8"/>
            <c:invertIfNegative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38E-4C3A-A3A0-0629FF5E598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57C87DC2-8C55-4217-99FB-58933C793D56}" type="VALUE">
                      <a:rPr lang="en-US"/>
                      <a:pPr/>
                      <a:t>[VALUE]</a:t>
                    </a:fld>
                    <a:r>
                      <a:rPr lang="en-US"/>
                      <a:t>*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C-038E-4C3A-A3A0-0629FF5E598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6ADB132-5B48-4107-B782-18EC951C01F4}" type="VALUE">
                      <a:rPr lang="en-US"/>
                      <a:pPr/>
                      <a:t>[VALUE]</a:t>
                    </a:fld>
                    <a:r>
                      <a:rPr lang="en-US"/>
                      <a:t>*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D-038E-4C3A-A3A0-0629FF5E59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'OUTPUT-1'!$B$3:$J$4</c:f>
              <c:multiLvlStrCache>
                <c:ptCount val="9"/>
                <c:lvl>
                  <c:pt idx="0">
                    <c:v>Asian</c:v>
                  </c:pt>
                  <c:pt idx="1">
                    <c:v>Rest of Boston</c:v>
                  </c:pt>
                  <c:pt idx="2">
                    <c:v>Boston Overall</c:v>
                  </c:pt>
                  <c:pt idx="3">
                    <c:v>Asian</c:v>
                  </c:pt>
                  <c:pt idx="4">
                    <c:v>Rest of Boston</c:v>
                  </c:pt>
                  <c:pt idx="5">
                    <c:v>Boston Overall</c:v>
                  </c:pt>
                  <c:pt idx="6">
                    <c:v>Asian</c:v>
                  </c:pt>
                  <c:pt idx="7">
                    <c:v>Rest of Boston</c:v>
                  </c:pt>
                  <c:pt idx="8">
                    <c:v>Boston Overall</c:v>
                  </c:pt>
                </c:lvl>
                <c:lvl>
                  <c:pt idx="0">
                    <c:v>Boston</c:v>
                  </c:pt>
                  <c:pt idx="3">
                    <c:v>Female</c:v>
                  </c:pt>
                  <c:pt idx="6">
                    <c:v>Male</c:v>
                  </c:pt>
                </c:lvl>
              </c:multiLvlStrCache>
            </c:multiLvlStrRef>
          </c:cat>
          <c:val>
            <c:numRef>
              <c:f>'OUTPUT-1'!$B$5:$J$5</c:f>
              <c:numCache>
                <c:formatCode>General</c:formatCode>
                <c:ptCount val="9"/>
                <c:pt idx="0">
                  <c:v>110.5</c:v>
                </c:pt>
                <c:pt idx="1">
                  <c:v>130.6</c:v>
                </c:pt>
                <c:pt idx="2">
                  <c:v>128.80000000000001</c:v>
                </c:pt>
                <c:pt idx="3">
                  <c:v>87.9</c:v>
                </c:pt>
                <c:pt idx="4">
                  <c:v>113.5</c:v>
                </c:pt>
                <c:pt idx="5">
                  <c:v>111.1</c:v>
                </c:pt>
                <c:pt idx="6">
                  <c:v>141.19999999999999</c:v>
                </c:pt>
                <c:pt idx="7">
                  <c:v>156.1</c:v>
                </c:pt>
                <c:pt idx="8">
                  <c:v>154.9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38E-4C3A-A3A0-0629FF5E59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77255616"/>
        <c:axId val="1177250216"/>
      </c:barChart>
      <c:catAx>
        <c:axId val="117725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n-US"/>
          </a:p>
        </c:txPr>
        <c:crossAx val="1177250216"/>
        <c:crosses val="autoZero"/>
        <c:auto val="1"/>
        <c:lblAlgn val="ctr"/>
        <c:lblOffset val="100"/>
        <c:noMultiLvlLbl val="0"/>
      </c:catAx>
      <c:valAx>
        <c:axId val="11772502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r>
                  <a:rPr lang="en-US"/>
                  <a:t>Deaths per 100,000 Residents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ontserrat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3175"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n-US"/>
          </a:p>
        </c:txPr>
        <c:crossAx val="1177255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>
          <a:latin typeface="Montserrat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'OUTPUT-1'!$A$35</c:f>
              <c:strCache>
                <c:ptCount val="1"/>
                <c:pt idx="0">
                  <c:v>All Cancer Mortality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87-4F68-AC82-E6E14898A504}"/>
              </c:ext>
            </c:extLst>
          </c:dPt>
          <c:dPt>
            <c:idx val="1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487-4F68-AC82-E6E14898A504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487-4F68-AC82-E6E14898A504}"/>
              </c:ext>
            </c:extLst>
          </c:dPt>
          <c:dPt>
            <c:idx val="4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487-4F68-AC82-E6E14898A504}"/>
              </c:ext>
            </c:extLst>
          </c:dPt>
          <c:dPt>
            <c:idx val="6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487-4F68-AC82-E6E14898A504}"/>
              </c:ext>
            </c:extLst>
          </c:dPt>
          <c:dPt>
            <c:idx val="7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487-4F68-AC82-E6E14898A50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EC4F36A2-6970-4A75-AC1B-C9E1AA1511FC}" type="VALUE">
                      <a:rPr lang="en-US"/>
                      <a:pPr/>
                      <a:t>[VALUE]</a:t>
                    </a:fld>
                    <a:r>
                      <a:rPr lang="en-US"/>
                      <a:t>*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5487-4F68-AC82-E6E14898A50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77F3426-18DE-4600-B7BA-21436C00D54A}" type="VALUE">
                      <a:rPr lang="en-US"/>
                      <a:pPr/>
                      <a:t>[VALUE]</a:t>
                    </a:fld>
                    <a:r>
                      <a:rPr lang="en-US"/>
                      <a:t>*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5487-4F68-AC82-E6E14898A50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1AC7666-E762-474B-AFB7-3C0FBB415687}" type="VALUE">
                      <a:rPr lang="en-US"/>
                      <a:pPr/>
                      <a:t>[VALUE]</a:t>
                    </a:fld>
                    <a:r>
                      <a:rPr lang="en-US"/>
                      <a:t>*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5487-4F68-AC82-E6E14898A5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'OUTPUT-1'!$B$33:$J$34</c:f>
              <c:multiLvlStrCache>
                <c:ptCount val="9"/>
                <c:lvl>
                  <c:pt idx="0">
                    <c:v>Black</c:v>
                  </c:pt>
                  <c:pt idx="1">
                    <c:v>Rest of Boston</c:v>
                  </c:pt>
                  <c:pt idx="2">
                    <c:v>Boston Overall</c:v>
                  </c:pt>
                  <c:pt idx="3">
                    <c:v>Black</c:v>
                  </c:pt>
                  <c:pt idx="4">
                    <c:v>Rest of Boston</c:v>
                  </c:pt>
                  <c:pt idx="5">
                    <c:v>Boston Overall</c:v>
                  </c:pt>
                  <c:pt idx="6">
                    <c:v>Black</c:v>
                  </c:pt>
                  <c:pt idx="7">
                    <c:v>Rest of Boston</c:v>
                  </c:pt>
                  <c:pt idx="8">
                    <c:v>Boston Overall</c:v>
                  </c:pt>
                </c:lvl>
                <c:lvl>
                  <c:pt idx="0">
                    <c:v>Boston</c:v>
                  </c:pt>
                  <c:pt idx="3">
                    <c:v>Female</c:v>
                  </c:pt>
                  <c:pt idx="6">
                    <c:v>Male</c:v>
                  </c:pt>
                </c:lvl>
              </c:multiLvlStrCache>
            </c:multiLvlStrRef>
          </c:cat>
          <c:val>
            <c:numRef>
              <c:f>'OUTPUT-1'!$B$35:$J$35</c:f>
              <c:numCache>
                <c:formatCode>General</c:formatCode>
                <c:ptCount val="9"/>
                <c:pt idx="0">
                  <c:v>160.4</c:v>
                </c:pt>
                <c:pt idx="1">
                  <c:v>118.3</c:v>
                </c:pt>
                <c:pt idx="2">
                  <c:v>128.80000000000001</c:v>
                </c:pt>
                <c:pt idx="3">
                  <c:v>136.1</c:v>
                </c:pt>
                <c:pt idx="4">
                  <c:v>102.1</c:v>
                </c:pt>
                <c:pt idx="5">
                  <c:v>111.1</c:v>
                </c:pt>
                <c:pt idx="6">
                  <c:v>200.5</c:v>
                </c:pt>
                <c:pt idx="7">
                  <c:v>141.5</c:v>
                </c:pt>
                <c:pt idx="8">
                  <c:v>154.9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487-4F68-AC82-E6E14898A5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77255616"/>
        <c:axId val="1177250216"/>
      </c:barChart>
      <c:catAx>
        <c:axId val="117725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n-US"/>
          </a:p>
        </c:txPr>
        <c:crossAx val="1177250216"/>
        <c:crosses val="autoZero"/>
        <c:auto val="1"/>
        <c:lblAlgn val="ctr"/>
        <c:lblOffset val="100"/>
        <c:noMultiLvlLbl val="0"/>
      </c:catAx>
      <c:valAx>
        <c:axId val="11772502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r>
                  <a:rPr lang="en-US"/>
                  <a:t>Deaths per 100,000 Residents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ontserrat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n-US"/>
          </a:p>
        </c:txPr>
        <c:crossAx val="1177255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ontserrat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'OUTPUT-1'!$A$63</c:f>
              <c:strCache>
                <c:ptCount val="1"/>
                <c:pt idx="0">
                  <c:v>All Cancer Mortality</c:v>
                </c:pt>
              </c:strCache>
            </c:strRef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455-404B-A524-207F3A8CF162}"/>
              </c:ext>
            </c:extLst>
          </c:dPt>
          <c:dPt>
            <c:idx val="1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455-404B-A524-207F3A8CF162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455-404B-A524-207F3A8CF162}"/>
              </c:ext>
            </c:extLst>
          </c:dPt>
          <c:dPt>
            <c:idx val="4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455-404B-A524-207F3A8CF162}"/>
              </c:ext>
            </c:extLst>
          </c:dPt>
          <c:dPt>
            <c:idx val="6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455-404B-A524-207F3A8CF162}"/>
              </c:ext>
            </c:extLst>
          </c:dPt>
          <c:dPt>
            <c:idx val="7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455-404B-A524-207F3A8CF16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5D1BF43C-7854-43B7-A3F6-15DA9DD44AF3}" type="VALUE">
                      <a:rPr lang="en-US"/>
                      <a:pPr/>
                      <a:t>[VALUE]</a:t>
                    </a:fld>
                    <a:r>
                      <a:rPr lang="en-US"/>
                      <a:t>*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3455-404B-A524-207F3A8CF16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59390D7-A929-4590-828F-FF6E0C747EB2}" type="VALUE">
                      <a:rPr lang="en-US"/>
                      <a:pPr/>
                      <a:t>[VALUE]</a:t>
                    </a:fld>
                    <a:r>
                      <a:rPr lang="en-US"/>
                      <a:t>*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3455-404B-A524-207F3A8CF16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F530A8F-8873-4706-9F86-778175FBFA9D}" type="VALUE">
                      <a:rPr lang="en-US"/>
                      <a:pPr/>
                      <a:t>[VALUE]</a:t>
                    </a:fld>
                    <a:r>
                      <a:rPr lang="en-US"/>
                      <a:t>*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3455-404B-A524-207F3A8CF1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'OUTPUT-1'!$B$61:$J$62</c:f>
              <c:multiLvlStrCache>
                <c:ptCount val="9"/>
                <c:lvl>
                  <c:pt idx="0">
                    <c:v>Latinx</c:v>
                  </c:pt>
                  <c:pt idx="1">
                    <c:v>Rest of Boston</c:v>
                  </c:pt>
                  <c:pt idx="2">
                    <c:v>Boston Overall</c:v>
                  </c:pt>
                  <c:pt idx="3">
                    <c:v>Latinx</c:v>
                  </c:pt>
                  <c:pt idx="4">
                    <c:v>Rest of Boston</c:v>
                  </c:pt>
                  <c:pt idx="5">
                    <c:v>Boston Overall</c:v>
                  </c:pt>
                  <c:pt idx="6">
                    <c:v>Latinx</c:v>
                  </c:pt>
                  <c:pt idx="7">
                    <c:v>Rest of Boston</c:v>
                  </c:pt>
                  <c:pt idx="8">
                    <c:v>Boston Overall</c:v>
                  </c:pt>
                </c:lvl>
                <c:lvl>
                  <c:pt idx="0">
                    <c:v>Boston</c:v>
                  </c:pt>
                  <c:pt idx="3">
                    <c:v>Female</c:v>
                  </c:pt>
                  <c:pt idx="6">
                    <c:v>Male</c:v>
                  </c:pt>
                </c:lvl>
              </c:multiLvlStrCache>
            </c:multiLvlStrRef>
          </c:cat>
          <c:val>
            <c:numRef>
              <c:f>'OUTPUT-1'!$B$63:$J$63</c:f>
              <c:numCache>
                <c:formatCode>0.0</c:formatCode>
                <c:ptCount val="9"/>
                <c:pt idx="0" formatCode="General">
                  <c:v>86.6</c:v>
                </c:pt>
                <c:pt idx="1">
                  <c:v>135</c:v>
                </c:pt>
                <c:pt idx="2" formatCode="General">
                  <c:v>128.80000000000001</c:v>
                </c:pt>
                <c:pt idx="3" formatCode="General">
                  <c:v>68.599999999999994</c:v>
                </c:pt>
                <c:pt idx="4" formatCode="General">
                  <c:v>118.5</c:v>
                </c:pt>
                <c:pt idx="5" formatCode="General">
                  <c:v>111.1</c:v>
                </c:pt>
                <c:pt idx="6" formatCode="General">
                  <c:v>117.2</c:v>
                </c:pt>
                <c:pt idx="7" formatCode="General">
                  <c:v>159.30000000000001</c:v>
                </c:pt>
                <c:pt idx="8" formatCode="General">
                  <c:v>154.9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455-404B-A524-207F3A8CF16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77255616"/>
        <c:axId val="1177250216"/>
      </c:barChart>
      <c:catAx>
        <c:axId val="117725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n-US"/>
          </a:p>
        </c:txPr>
        <c:crossAx val="1177250216"/>
        <c:crosses val="autoZero"/>
        <c:auto val="1"/>
        <c:lblAlgn val="ctr"/>
        <c:lblOffset val="100"/>
        <c:noMultiLvlLbl val="0"/>
      </c:catAx>
      <c:valAx>
        <c:axId val="11772502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r>
                  <a:rPr lang="en-US"/>
                  <a:t>Deaths per 100,000 Residents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ontserrat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n-US"/>
          </a:p>
        </c:txPr>
        <c:crossAx val="1177255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ontserrat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pattFill prst="wdDnDiag">
                <a:fgClr>
                  <a:schemeClr val="tx2">
                    <a:lumMod val="25000"/>
                    <a:lumOff val="7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AE8-4F6F-8140-D82E568AEFE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02D4F8A8-6C80-4F22-BB28-9B100A29349E}" type="VALUE">
                      <a:rPr lang="en-US"/>
                      <a:pPr/>
                      <a:t>[VALUE]</a:t>
                    </a:fld>
                    <a:r>
                      <a:rPr lang="en-US"/>
                      <a:t>*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3AE8-4F6F-8140-D82E568AEF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'OUTPUT-2'!$B$15:$D$15</c:f>
              <c:strCache>
                <c:ptCount val="3"/>
                <c:pt idx="0">
                  <c:v>Asian</c:v>
                </c:pt>
                <c:pt idx="1">
                  <c:v>White</c:v>
                </c:pt>
                <c:pt idx="2">
                  <c:v>Boston</c:v>
                </c:pt>
              </c:strCache>
            </c:strRef>
          </c:cat>
          <c:val>
            <c:numRef>
              <c:f>'OUTPUT-2'!$B$16:$D$16</c:f>
              <c:numCache>
                <c:formatCode>General</c:formatCode>
                <c:ptCount val="3"/>
                <c:pt idx="0">
                  <c:v>110.8</c:v>
                </c:pt>
                <c:pt idx="1">
                  <c:v>131.19999999999999</c:v>
                </c:pt>
                <c:pt idx="2">
                  <c:v>125.3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E8-4F6F-8140-D82E568AEFE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61432336"/>
        <c:axId val="1761429456"/>
      </c:barChart>
      <c:catAx>
        <c:axId val="176143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n-US"/>
          </a:p>
        </c:txPr>
        <c:crossAx val="1761429456"/>
        <c:crosses val="autoZero"/>
        <c:auto val="1"/>
        <c:lblAlgn val="ctr"/>
        <c:lblOffset val="100"/>
        <c:noMultiLvlLbl val="0"/>
      </c:catAx>
      <c:valAx>
        <c:axId val="17614294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r>
                  <a:rPr lang="en-US"/>
                  <a:t>Deaths per 1000,000 Residents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ontserrat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n-US"/>
          </a:p>
        </c:txPr>
        <c:crossAx val="1761432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ontserrat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pattFill prst="wdDnDiag">
                <a:fgClr>
                  <a:schemeClr val="tx2">
                    <a:lumMod val="25000"/>
                    <a:lumOff val="7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AB7-4D61-B5E3-6655FA50244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0616552E-CD36-4C73-8EE4-3CCBC9883B8F}" type="VALUE">
                      <a:rPr lang="en-US"/>
                      <a:pPr/>
                      <a:t>[VALUE]</a:t>
                    </a:fld>
                    <a:r>
                      <a:rPr lang="en-US"/>
                      <a:t>*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DAB7-4D61-B5E3-6655FA5024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'OUTPUT-2'!$B$40:$D$40</c:f>
              <c:strCache>
                <c:ptCount val="3"/>
                <c:pt idx="0">
                  <c:v>Black</c:v>
                </c:pt>
                <c:pt idx="1">
                  <c:v>White</c:v>
                </c:pt>
                <c:pt idx="2">
                  <c:v>Boston</c:v>
                </c:pt>
              </c:strCache>
            </c:strRef>
          </c:cat>
          <c:val>
            <c:numRef>
              <c:f>'OUTPUT-2'!$B$41:$D$41</c:f>
              <c:numCache>
                <c:formatCode>General</c:formatCode>
                <c:ptCount val="3"/>
                <c:pt idx="0">
                  <c:v>156.30000000000001</c:v>
                </c:pt>
                <c:pt idx="1">
                  <c:v>131.19999999999999</c:v>
                </c:pt>
                <c:pt idx="2">
                  <c:v>125.3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B7-4D61-B5E3-6655FA50244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61432336"/>
        <c:axId val="1761429456"/>
      </c:barChart>
      <c:catAx>
        <c:axId val="176143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n-US"/>
          </a:p>
        </c:txPr>
        <c:crossAx val="1761429456"/>
        <c:crosses val="autoZero"/>
        <c:auto val="1"/>
        <c:lblAlgn val="ctr"/>
        <c:lblOffset val="100"/>
        <c:noMultiLvlLbl val="0"/>
      </c:catAx>
      <c:valAx>
        <c:axId val="17614294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r>
                  <a:rPr lang="en-US"/>
                  <a:t>Deaths per 100,000 Residents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ontserrat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n-US"/>
          </a:p>
        </c:txPr>
        <c:crossAx val="1761432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ontserrat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pattFill prst="wdDnDiag">
                <a:fgClr>
                  <a:schemeClr val="tx2">
                    <a:lumMod val="25000"/>
                    <a:lumOff val="7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E16-4FF8-889D-17B9EEB45EE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0DFEF60D-D1F0-49E7-9C52-CD078EC21754}" type="VALUE">
                      <a:rPr lang="en-US"/>
                      <a:pPr/>
                      <a:t>[VALUE]</a:t>
                    </a:fld>
                    <a:r>
                      <a:rPr lang="en-US"/>
                      <a:t>*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0E16-4FF8-889D-17B9EEB45E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'OUTPUT-2'!$B$65:$D$65</c:f>
              <c:strCache>
                <c:ptCount val="3"/>
                <c:pt idx="0">
                  <c:v>Latinx</c:v>
                </c:pt>
                <c:pt idx="1">
                  <c:v>White</c:v>
                </c:pt>
                <c:pt idx="2">
                  <c:v>Boston</c:v>
                </c:pt>
              </c:strCache>
            </c:strRef>
          </c:cat>
          <c:val>
            <c:numRef>
              <c:f>'OUTPUT-2'!$B$66:$D$66</c:f>
              <c:numCache>
                <c:formatCode>General</c:formatCode>
                <c:ptCount val="3"/>
                <c:pt idx="0">
                  <c:v>88.4</c:v>
                </c:pt>
                <c:pt idx="1">
                  <c:v>131.19999999999999</c:v>
                </c:pt>
                <c:pt idx="2">
                  <c:v>125.3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16-4FF8-889D-17B9EEB45EE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61432336"/>
        <c:axId val="1761429456"/>
      </c:barChart>
      <c:catAx>
        <c:axId val="176143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n-US"/>
          </a:p>
        </c:txPr>
        <c:crossAx val="1761429456"/>
        <c:crosses val="autoZero"/>
        <c:auto val="1"/>
        <c:lblAlgn val="ctr"/>
        <c:lblOffset val="100"/>
        <c:noMultiLvlLbl val="0"/>
      </c:catAx>
      <c:valAx>
        <c:axId val="17614294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r>
                  <a:rPr lang="en-US"/>
                  <a:t>Deaths per 100,000 Residents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ontserrat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12700"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n-US"/>
          </a:p>
        </c:txPr>
        <c:crossAx val="1761432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ontserrat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pattFill prst="wdDnDiag">
                <a:fgClr>
                  <a:schemeClr val="tx2">
                    <a:lumMod val="25000"/>
                    <a:lumOff val="7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1A9-401A-ABFE-B04B79F7753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E031C43E-F189-40D8-82E6-A6242AE56521}" type="VALUE">
                      <a:rPr lang="en-US"/>
                      <a:pPr/>
                      <a:t>[VALUE]</a:t>
                    </a:fld>
                    <a:r>
                      <a:rPr lang="en-US"/>
                      <a:t>*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F1A9-401A-ABFE-B04B79F7753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F85A13E-6845-4260-94B6-BFEDD34BACFF}" type="VALUE">
                      <a:rPr lang="en-US"/>
                      <a:pPr/>
                      <a:t>[VALUE]</a:t>
                    </a:fld>
                    <a:r>
                      <a:rPr lang="en-US"/>
                      <a:t>*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F1A9-401A-ABFE-B04B79F7753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DC02743-703C-4577-A180-7B180C93CF53}" type="VALUE">
                      <a:rPr lang="en-US"/>
                      <a:pPr/>
                      <a:t>[VALUE]</a:t>
                    </a:fld>
                    <a:r>
                      <a:rPr lang="en-US"/>
                      <a:t>*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F1A9-401A-ABFE-B04B79F775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'OUTPUT-3'!$A$13:$E$13</c:f>
              <c:strCache>
                <c:ptCount val="5"/>
                <c:pt idx="0">
                  <c:v>Asian</c:v>
                </c:pt>
                <c:pt idx="1">
                  <c:v>Black</c:v>
                </c:pt>
                <c:pt idx="2">
                  <c:v>Latinx</c:v>
                </c:pt>
                <c:pt idx="3">
                  <c:v>White</c:v>
                </c:pt>
                <c:pt idx="4">
                  <c:v>Boston</c:v>
                </c:pt>
              </c:strCache>
            </c:strRef>
          </c:cat>
          <c:val>
            <c:numRef>
              <c:f>'OUTPUT-3'!$A$14:$E$14</c:f>
              <c:numCache>
                <c:formatCode>General</c:formatCode>
                <c:ptCount val="5"/>
                <c:pt idx="0">
                  <c:v>110.8</c:v>
                </c:pt>
                <c:pt idx="1">
                  <c:v>156.30000000000001</c:v>
                </c:pt>
                <c:pt idx="2">
                  <c:v>88.4</c:v>
                </c:pt>
                <c:pt idx="3">
                  <c:v>131.19999999999999</c:v>
                </c:pt>
                <c:pt idx="4">
                  <c:v>125.3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1A9-401A-ABFE-B04B79F775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61432336"/>
        <c:axId val="1761429456"/>
      </c:barChart>
      <c:catAx>
        <c:axId val="176143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n-US"/>
          </a:p>
        </c:txPr>
        <c:crossAx val="1761429456"/>
        <c:crosses val="autoZero"/>
        <c:auto val="1"/>
        <c:lblAlgn val="ctr"/>
        <c:lblOffset val="100"/>
        <c:noMultiLvlLbl val="0"/>
      </c:catAx>
      <c:valAx>
        <c:axId val="17614294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r>
                  <a:rPr lang="en-US"/>
                  <a:t>Deaths per 100,000 Residents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ontserrat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n-US"/>
          </a:p>
        </c:txPr>
        <c:crossAx val="1761432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ontserrat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pattFill prst="wdDnDiag">
                <a:fgClr>
                  <a:schemeClr val="tx2">
                    <a:lumMod val="25000"/>
                    <a:lumOff val="7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FDA-42E7-A1CA-18A25D0CA61B}"/>
              </c:ext>
            </c:extLst>
          </c:dPt>
          <c:dPt>
            <c:idx val="8"/>
            <c:invertIfNegative val="0"/>
            <c:bubble3D val="0"/>
            <c:spPr>
              <a:pattFill prst="wdDnDiag">
                <a:fgClr>
                  <a:schemeClr val="tx2">
                    <a:lumMod val="25000"/>
                    <a:lumOff val="7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FDA-42E7-A1CA-18A25D0CA61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9469D579-ED0A-4BB9-8C00-E4D298EF98A3}" type="VALUE">
                      <a:rPr lang="en-US"/>
                      <a:pPr/>
                      <a:t>[VALUE]</a:t>
                    </a:fld>
                    <a:r>
                      <a:rPr lang="en-US"/>
                      <a:t>*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FFDA-42E7-A1CA-18A25D0CA61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F868413-2F00-47A3-A150-6D1F00AFFAD0}" type="VALUE">
                      <a:rPr lang="en-US"/>
                      <a:pPr/>
                      <a:t>[VALUE]</a:t>
                    </a:fld>
                    <a:r>
                      <a:rPr lang="en-US"/>
                      <a:t>*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FFDA-42E7-A1CA-18A25D0CA61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8B74C77-FD15-47E5-B122-9FBBDD4E7635}" type="VALUE">
                      <a:rPr lang="en-US"/>
                      <a:pPr/>
                      <a:t>[VALUE]</a:t>
                    </a:fld>
                    <a:r>
                      <a:rPr lang="en-US"/>
                      <a:t>*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FFDA-42E7-A1CA-18A25D0CA61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1F1F259-06A3-44D5-941D-7FD6DACE1270}" type="VALUE">
                      <a:rPr lang="en-US"/>
                      <a:pPr/>
                      <a:t>[VALUE]</a:t>
                    </a:fld>
                    <a:r>
                      <a:rPr lang="en-US"/>
                      <a:t>*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FFDA-42E7-A1CA-18A25D0CA61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3620CCB-A66A-4F42-AE3A-932E2396D836}" type="VALUE">
                      <a:rPr lang="en-US"/>
                      <a:pPr/>
                      <a:t>[VALUE]</a:t>
                    </a:fld>
                    <a:r>
                      <a:rPr lang="en-US"/>
                      <a:t>*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FFDA-42E7-A1CA-18A25D0CA6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'OUTPUT-4'!$B$3:$K$4</c:f>
              <c:multiLvlStrCache>
                <c:ptCount val="10"/>
                <c:lvl>
                  <c:pt idx="0">
                    <c:v>Asian</c:v>
                  </c:pt>
                  <c:pt idx="1">
                    <c:v>Black</c:v>
                  </c:pt>
                  <c:pt idx="2">
                    <c:v>Latinx</c:v>
                  </c:pt>
                  <c:pt idx="3">
                    <c:v>White</c:v>
                  </c:pt>
                  <c:pt idx="4">
                    <c:v>Boston</c:v>
                  </c:pt>
                  <c:pt idx="5">
                    <c:v>Asian</c:v>
                  </c:pt>
                  <c:pt idx="6">
                    <c:v>Black</c:v>
                  </c:pt>
                  <c:pt idx="7">
                    <c:v>Latinx</c:v>
                  </c:pt>
                  <c:pt idx="8">
                    <c:v>White</c:v>
                  </c:pt>
                  <c:pt idx="9">
                    <c:v>Boston</c:v>
                  </c:pt>
                </c:lvl>
                <c:lvl>
                  <c:pt idx="0">
                    <c:v>Female</c:v>
                  </c:pt>
                  <c:pt idx="5">
                    <c:v>Male</c:v>
                  </c:pt>
                </c:lvl>
              </c:multiLvlStrCache>
            </c:multiLvlStrRef>
          </c:cat>
          <c:val>
            <c:numRef>
              <c:f>'OUTPUT-4'!$B$5:$K$5</c:f>
              <c:numCache>
                <c:formatCode>General</c:formatCode>
                <c:ptCount val="10"/>
                <c:pt idx="0">
                  <c:v>90.1</c:v>
                </c:pt>
                <c:pt idx="1">
                  <c:v>133.9</c:v>
                </c:pt>
                <c:pt idx="2" formatCode="0.0">
                  <c:v>70</c:v>
                </c:pt>
                <c:pt idx="3" formatCode="0.0">
                  <c:v>118</c:v>
                </c:pt>
                <c:pt idx="4">
                  <c:v>108.2</c:v>
                </c:pt>
                <c:pt idx="5">
                  <c:v>138.6</c:v>
                </c:pt>
                <c:pt idx="6">
                  <c:v>193.8</c:v>
                </c:pt>
                <c:pt idx="7">
                  <c:v>119.6</c:v>
                </c:pt>
                <c:pt idx="8">
                  <c:v>150.6</c:v>
                </c:pt>
                <c:pt idx="9">
                  <c:v>150.6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FDA-42E7-A1CA-18A25D0CA6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61432336"/>
        <c:axId val="1761429456"/>
      </c:barChart>
      <c:catAx>
        <c:axId val="176143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n-US"/>
          </a:p>
        </c:txPr>
        <c:crossAx val="1761429456"/>
        <c:crosses val="autoZero"/>
        <c:auto val="1"/>
        <c:lblAlgn val="ctr"/>
        <c:lblOffset val="100"/>
        <c:noMultiLvlLbl val="0"/>
      </c:catAx>
      <c:valAx>
        <c:axId val="17614294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r>
                  <a:rPr lang="en-US"/>
                  <a:t>Deaths per 100,000 Residents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ontserrat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n-US"/>
          </a:p>
        </c:txPr>
        <c:crossAx val="1761432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ontserrat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75B-4D7C-BD62-974658D705EB}"/>
              </c:ext>
            </c:extLst>
          </c:dPt>
          <c:dPt>
            <c:idx val="1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75B-4D7C-BD62-974658D705EB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75B-4D7C-BD62-974658D705EB}"/>
              </c:ext>
            </c:extLst>
          </c:dPt>
          <c:dPt>
            <c:idx val="4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75B-4D7C-BD62-974658D705EB}"/>
              </c:ext>
            </c:extLst>
          </c:dPt>
          <c:dPt>
            <c:idx val="6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75B-4D7C-BD62-974658D705EB}"/>
              </c:ext>
            </c:extLst>
          </c:dPt>
          <c:dPt>
            <c:idx val="7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75B-4D7C-BD62-974658D705E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ED119CF4-5139-4EB4-ADA8-BB7603DA1E56}" type="VALUE">
                      <a:rPr lang="en-US"/>
                      <a:pPr/>
                      <a:t>[VALUE]</a:t>
                    </a:fld>
                    <a:r>
                      <a:rPr lang="en-US"/>
                      <a:t>*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275B-4D7C-BD62-974658D705E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9962259-F8D7-4E91-843F-787372EBA8EC}" type="VALUE">
                      <a:rPr lang="en-US"/>
                      <a:pPr/>
                      <a:t>[VALUE]</a:t>
                    </a:fld>
                    <a:r>
                      <a:rPr lang="en-US"/>
                      <a:t>*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275B-4D7C-BD62-974658D705E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07B113A-3117-486E-A528-351E9C3D5300}" type="VALUE">
                      <a:rPr lang="en-US"/>
                      <a:pPr/>
                      <a:t>[VALUE]</a:t>
                    </a:fld>
                    <a:r>
                      <a:rPr lang="en-US"/>
                      <a:t>*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275B-4D7C-BD62-974658D705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'OUTPUT-5'!$A$15:$I$16</c:f>
              <c:multiLvlStrCache>
                <c:ptCount val="9"/>
                <c:lvl>
                  <c:pt idx="0">
                    <c:v>Asian</c:v>
                  </c:pt>
                  <c:pt idx="1">
                    <c:v>Rest of Boston</c:v>
                  </c:pt>
                  <c:pt idx="2">
                    <c:v>Boston Overall</c:v>
                  </c:pt>
                  <c:pt idx="3">
                    <c:v>Asian</c:v>
                  </c:pt>
                  <c:pt idx="4">
                    <c:v>Rest of Boston</c:v>
                  </c:pt>
                  <c:pt idx="5">
                    <c:v>Boston Overall</c:v>
                  </c:pt>
                  <c:pt idx="6">
                    <c:v>Asian</c:v>
                  </c:pt>
                  <c:pt idx="7">
                    <c:v>Rest of Boston</c:v>
                  </c:pt>
                  <c:pt idx="8">
                    <c:v>Boston Overall</c:v>
                  </c:pt>
                </c:lvl>
                <c:lvl>
                  <c:pt idx="0">
                    <c:v>Boston</c:v>
                  </c:pt>
                  <c:pt idx="3">
                    <c:v>Female</c:v>
                  </c:pt>
                  <c:pt idx="6">
                    <c:v>Male</c:v>
                  </c:pt>
                </c:lvl>
              </c:multiLvlStrCache>
            </c:multiLvlStrRef>
          </c:cat>
          <c:val>
            <c:numRef>
              <c:f>'OUTPUT-5'!$A$17:$I$17</c:f>
              <c:numCache>
                <c:formatCode>General</c:formatCode>
                <c:ptCount val="9"/>
                <c:pt idx="0">
                  <c:v>4.8</c:v>
                </c:pt>
                <c:pt idx="1">
                  <c:v>7.8</c:v>
                </c:pt>
                <c:pt idx="2">
                  <c:v>7.8</c:v>
                </c:pt>
                <c:pt idx="3" formatCode="0.0">
                  <c:v>4</c:v>
                </c:pt>
                <c:pt idx="4">
                  <c:v>6.7</c:v>
                </c:pt>
                <c:pt idx="5">
                  <c:v>6.7</c:v>
                </c:pt>
                <c:pt idx="6">
                  <c:v>5.9</c:v>
                </c:pt>
                <c:pt idx="7">
                  <c:v>9.1999999999999993</c:v>
                </c:pt>
                <c:pt idx="8">
                  <c:v>9.1999999999999993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75B-4D7C-BD62-974658D705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77255616"/>
        <c:axId val="1177250216"/>
      </c:barChart>
      <c:catAx>
        <c:axId val="117725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n-US"/>
          </a:p>
        </c:txPr>
        <c:crossAx val="1177250216"/>
        <c:crosses val="autoZero"/>
        <c:auto val="1"/>
        <c:lblAlgn val="ctr"/>
        <c:lblOffset val="100"/>
        <c:noMultiLvlLbl val="0"/>
      </c:catAx>
      <c:valAx>
        <c:axId val="11772502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r>
                  <a:rPr lang="en-US"/>
                  <a:t>Hospitaliztionsa  per 10,000 Residents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ontserrat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3175"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n-US"/>
          </a:p>
        </c:txPr>
        <c:crossAx val="1177255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>
          <a:latin typeface="Montserrat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069-4F71-92D6-9401B44D42F2}"/>
              </c:ext>
            </c:extLst>
          </c:dPt>
          <c:dPt>
            <c:idx val="1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069-4F71-92D6-9401B44D42F2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069-4F71-92D6-9401B44D42F2}"/>
              </c:ext>
            </c:extLst>
          </c:dPt>
          <c:dPt>
            <c:idx val="4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069-4F71-92D6-9401B44D42F2}"/>
              </c:ext>
            </c:extLst>
          </c:dPt>
          <c:dPt>
            <c:idx val="6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069-4F71-92D6-9401B44D42F2}"/>
              </c:ext>
            </c:extLst>
          </c:dPt>
          <c:dPt>
            <c:idx val="7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069-4F71-92D6-9401B44D42F2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995D95F-06CB-4D34-A89D-8B31AADAA747}" type="VALUE">
                      <a:rPr lang="en-US"/>
                      <a:pPr/>
                      <a:t>[VALUE]</a:t>
                    </a:fld>
                    <a:r>
                      <a:rPr lang="en-US"/>
                      <a:t>*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0069-4F71-92D6-9401B44D42F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4F465C7-DC7D-45A9-9CAF-17B60F332451}" type="VALUE">
                      <a:rPr lang="en-US"/>
                      <a:pPr/>
                      <a:t>[VALUE]</a:t>
                    </a:fld>
                    <a:r>
                      <a:rPr lang="en-US"/>
                      <a:t>*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0069-4F71-92D6-9401B44D42F2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594B3B2-FD7A-4FDB-B12D-815E795A167E}" type="VALUE">
                      <a:rPr lang="en-US"/>
                      <a:pPr/>
                      <a:t>[VALUE]</a:t>
                    </a:fld>
                    <a:r>
                      <a:rPr lang="en-US"/>
                      <a:t>*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0069-4F71-92D6-9401B44D42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'OUTPUT-5'!$A$44:$I$45</c:f>
              <c:multiLvlStrCache>
                <c:ptCount val="9"/>
                <c:lvl>
                  <c:pt idx="0">
                    <c:v>Black</c:v>
                  </c:pt>
                  <c:pt idx="1">
                    <c:v>Rest of Boston</c:v>
                  </c:pt>
                  <c:pt idx="2">
                    <c:v>Boston Overall</c:v>
                  </c:pt>
                  <c:pt idx="3">
                    <c:v>Black</c:v>
                  </c:pt>
                  <c:pt idx="4">
                    <c:v>Rest of Boston</c:v>
                  </c:pt>
                  <c:pt idx="5">
                    <c:v>Boston Overall</c:v>
                  </c:pt>
                  <c:pt idx="6">
                    <c:v>Black</c:v>
                  </c:pt>
                  <c:pt idx="7">
                    <c:v>Rest of Boston</c:v>
                  </c:pt>
                  <c:pt idx="8">
                    <c:v>Boston Overall</c:v>
                  </c:pt>
                </c:lvl>
                <c:lvl>
                  <c:pt idx="0">
                    <c:v>Boston</c:v>
                  </c:pt>
                  <c:pt idx="3">
                    <c:v>Female</c:v>
                  </c:pt>
                  <c:pt idx="6">
                    <c:v>Male</c:v>
                  </c:pt>
                </c:lvl>
              </c:multiLvlStrCache>
            </c:multiLvlStrRef>
          </c:cat>
          <c:val>
            <c:numRef>
              <c:f>'OUTPUT-5'!$A$46:$I$46</c:f>
              <c:numCache>
                <c:formatCode>General</c:formatCode>
                <c:ptCount val="9"/>
                <c:pt idx="0">
                  <c:v>13.6</c:v>
                </c:pt>
                <c:pt idx="1">
                  <c:v>5.7</c:v>
                </c:pt>
                <c:pt idx="2">
                  <c:v>7.8</c:v>
                </c:pt>
                <c:pt idx="3" formatCode="0.0">
                  <c:v>12</c:v>
                </c:pt>
                <c:pt idx="4">
                  <c:v>4.7</c:v>
                </c:pt>
                <c:pt idx="5">
                  <c:v>6.7</c:v>
                </c:pt>
                <c:pt idx="6">
                  <c:v>15.9</c:v>
                </c:pt>
                <c:pt idx="7" formatCode="0.0">
                  <c:v>7</c:v>
                </c:pt>
                <c:pt idx="8">
                  <c:v>9.1999999999999993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069-4F71-92D6-9401B44D42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77255616"/>
        <c:axId val="1177250216"/>
      </c:barChart>
      <c:catAx>
        <c:axId val="117725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n-US"/>
          </a:p>
        </c:txPr>
        <c:crossAx val="1177250216"/>
        <c:crosses val="autoZero"/>
        <c:auto val="1"/>
        <c:lblAlgn val="ctr"/>
        <c:lblOffset val="100"/>
        <c:noMultiLvlLbl val="0"/>
      </c:catAx>
      <c:valAx>
        <c:axId val="11772502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r>
                  <a:rPr lang="en-US"/>
                  <a:t>Hospitaliztionsa  per 10,000 Residents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ontserrat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3175"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n-US"/>
          </a:p>
        </c:txPr>
        <c:crossAx val="1177255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>
          <a:latin typeface="Montserrat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E66-4AF8-8859-951096DD891C}"/>
              </c:ext>
            </c:extLst>
          </c:dPt>
          <c:dPt>
            <c:idx val="1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E66-4AF8-8859-951096DD891C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E66-4AF8-8859-951096DD891C}"/>
              </c:ext>
            </c:extLst>
          </c:dPt>
          <c:dPt>
            <c:idx val="4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E66-4AF8-8859-951096DD891C}"/>
              </c:ext>
            </c:extLst>
          </c:dPt>
          <c:dPt>
            <c:idx val="6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E66-4AF8-8859-951096DD891C}"/>
              </c:ext>
            </c:extLst>
          </c:dPt>
          <c:dPt>
            <c:idx val="7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E66-4AF8-8859-951096DD891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'OUTPUT-5'!$A$73:$I$74</c:f>
              <c:multiLvlStrCache>
                <c:ptCount val="9"/>
                <c:lvl>
                  <c:pt idx="0">
                    <c:v>Latinx</c:v>
                  </c:pt>
                  <c:pt idx="1">
                    <c:v>Rest of Boston</c:v>
                  </c:pt>
                  <c:pt idx="2">
                    <c:v>Boston Overall</c:v>
                  </c:pt>
                  <c:pt idx="3">
                    <c:v>Latinx</c:v>
                  </c:pt>
                  <c:pt idx="4">
                    <c:v>Rest of Boston</c:v>
                  </c:pt>
                  <c:pt idx="5">
                    <c:v>Boston Overall</c:v>
                  </c:pt>
                  <c:pt idx="6">
                    <c:v>Latinx</c:v>
                  </c:pt>
                  <c:pt idx="7">
                    <c:v>Rest of Boston</c:v>
                  </c:pt>
                  <c:pt idx="8">
                    <c:v>Boston Overall</c:v>
                  </c:pt>
                </c:lvl>
                <c:lvl>
                  <c:pt idx="0">
                    <c:v>Boston</c:v>
                  </c:pt>
                  <c:pt idx="3">
                    <c:v>Female</c:v>
                  </c:pt>
                  <c:pt idx="6">
                    <c:v>Male</c:v>
                  </c:pt>
                </c:lvl>
              </c:multiLvlStrCache>
            </c:multiLvlStrRef>
          </c:cat>
          <c:val>
            <c:numRef>
              <c:f>'OUTPUT-5'!$A$75:$I$75</c:f>
              <c:numCache>
                <c:formatCode>General</c:formatCode>
                <c:ptCount val="9"/>
                <c:pt idx="0">
                  <c:v>7.5</c:v>
                </c:pt>
                <c:pt idx="1">
                  <c:v>7.5</c:v>
                </c:pt>
                <c:pt idx="2">
                  <c:v>7.8</c:v>
                </c:pt>
                <c:pt idx="3" formatCode="0.0">
                  <c:v>6.4</c:v>
                </c:pt>
                <c:pt idx="4">
                  <c:v>6.5</c:v>
                </c:pt>
                <c:pt idx="5">
                  <c:v>6.7</c:v>
                </c:pt>
                <c:pt idx="6" formatCode="0.0">
                  <c:v>9</c:v>
                </c:pt>
                <c:pt idx="7" formatCode="0.0">
                  <c:v>8.9</c:v>
                </c:pt>
                <c:pt idx="8">
                  <c:v>9.1999999999999993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E66-4AF8-8859-951096DD89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77255616"/>
        <c:axId val="1177250216"/>
      </c:barChart>
      <c:catAx>
        <c:axId val="117725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n-US"/>
          </a:p>
        </c:txPr>
        <c:crossAx val="1177250216"/>
        <c:crosses val="autoZero"/>
        <c:auto val="1"/>
        <c:lblAlgn val="ctr"/>
        <c:lblOffset val="100"/>
        <c:noMultiLvlLbl val="0"/>
      </c:catAx>
      <c:valAx>
        <c:axId val="11772502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r>
                  <a:rPr lang="en-US"/>
                  <a:t>Hospitaliztionsa  per 10,000 Residents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ontserrat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 w="3175"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n-US"/>
          </a:p>
        </c:txPr>
        <c:crossAx val="1177255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>
          <a:latin typeface="Montserrat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pattFill prst="wdDnDiag">
                <a:fgClr>
                  <a:schemeClr val="tx2">
                    <a:lumMod val="25000"/>
                    <a:lumOff val="7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0CB-4745-B9A5-0A478D268F4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'OUTPUT-6'!$B$5:$D$5</c:f>
              <c:strCache>
                <c:ptCount val="3"/>
                <c:pt idx="0">
                  <c:v>Asian</c:v>
                </c:pt>
                <c:pt idx="1">
                  <c:v>White</c:v>
                </c:pt>
                <c:pt idx="2">
                  <c:v>Boston</c:v>
                </c:pt>
              </c:strCache>
            </c:strRef>
          </c:cat>
          <c:val>
            <c:numRef>
              <c:f>'OUTPUT-6'!$B$6:$D$6</c:f>
              <c:numCache>
                <c:formatCode>General</c:formatCode>
                <c:ptCount val="3"/>
                <c:pt idx="0">
                  <c:v>4.8</c:v>
                </c:pt>
                <c:pt idx="1">
                  <c:v>5.5</c:v>
                </c:pt>
                <c:pt idx="2">
                  <c:v>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CB-4745-B9A5-0A478D268F4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61432336"/>
        <c:axId val="1761429456"/>
      </c:barChart>
      <c:catAx>
        <c:axId val="176143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n-US"/>
          </a:p>
        </c:txPr>
        <c:crossAx val="1761429456"/>
        <c:crosses val="autoZero"/>
        <c:auto val="1"/>
        <c:lblAlgn val="ctr"/>
        <c:lblOffset val="100"/>
        <c:noMultiLvlLbl val="0"/>
      </c:catAx>
      <c:valAx>
        <c:axId val="17614294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r>
                  <a:rPr lang="en-US"/>
                  <a:t>Deaths per 1000,000 Residents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ontserrat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n-US"/>
          </a:p>
        </c:txPr>
        <c:crossAx val="1761432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ontserrat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pattFill prst="wdDnDiag">
                <a:fgClr>
                  <a:schemeClr val="tx2">
                    <a:lumMod val="25000"/>
                    <a:lumOff val="7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864-4255-99FD-BEDE3B0AD39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2C104227-FBF2-4265-83B0-C6E6F0ABF83D}" type="VALUE">
                      <a:rPr lang="en-US"/>
                      <a:pPr/>
                      <a:t>[VALUE]</a:t>
                    </a:fld>
                    <a:r>
                      <a:rPr lang="en-US"/>
                      <a:t>*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D864-4255-99FD-BEDE3B0AD3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'OUTPUT-6'!$B$30:$D$30</c:f>
              <c:strCache>
                <c:ptCount val="3"/>
                <c:pt idx="0">
                  <c:v>Black</c:v>
                </c:pt>
                <c:pt idx="1">
                  <c:v>White</c:v>
                </c:pt>
                <c:pt idx="2">
                  <c:v>Boston</c:v>
                </c:pt>
              </c:strCache>
            </c:strRef>
          </c:cat>
          <c:val>
            <c:numRef>
              <c:f>'OUTPUT-6'!$B$31:$D$31</c:f>
              <c:numCache>
                <c:formatCode>General</c:formatCode>
                <c:ptCount val="3"/>
                <c:pt idx="0">
                  <c:v>13.6</c:v>
                </c:pt>
                <c:pt idx="1">
                  <c:v>5.5</c:v>
                </c:pt>
                <c:pt idx="2">
                  <c:v>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64-4255-99FD-BEDE3B0AD39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61432336"/>
        <c:axId val="1761429456"/>
      </c:barChart>
      <c:catAx>
        <c:axId val="176143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n-US"/>
          </a:p>
        </c:txPr>
        <c:crossAx val="1761429456"/>
        <c:crosses val="autoZero"/>
        <c:auto val="1"/>
        <c:lblAlgn val="ctr"/>
        <c:lblOffset val="100"/>
        <c:noMultiLvlLbl val="0"/>
      </c:catAx>
      <c:valAx>
        <c:axId val="17614294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r>
                  <a:rPr lang="en-US"/>
                  <a:t>Deaths per 1000,000 Residents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ontserrat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n-US"/>
          </a:p>
        </c:txPr>
        <c:crossAx val="1761432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ontserrat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pattFill prst="wdDnDiag">
                <a:fgClr>
                  <a:schemeClr val="tx2">
                    <a:lumMod val="25000"/>
                    <a:lumOff val="7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D6E-4B94-8C6E-C66FAD4D69A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142F3D10-179C-4DDB-9C87-BD3476373F4E}" type="VALUE">
                      <a:rPr lang="en-US"/>
                      <a:pPr/>
                      <a:t>[VALUE]</a:t>
                    </a:fld>
                    <a:r>
                      <a:rPr lang="en-US"/>
                      <a:t>*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3D6E-4B94-8C6E-C66FAD4D69A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'OUTPUT-6'!$B$55:$D$55</c:f>
              <c:strCache>
                <c:ptCount val="3"/>
                <c:pt idx="0">
                  <c:v>Latinx</c:v>
                </c:pt>
                <c:pt idx="1">
                  <c:v>White</c:v>
                </c:pt>
                <c:pt idx="2">
                  <c:v>Boston</c:v>
                </c:pt>
              </c:strCache>
            </c:strRef>
          </c:cat>
          <c:val>
            <c:numRef>
              <c:f>'OUTPUT-6'!$B$56:$D$56</c:f>
              <c:numCache>
                <c:formatCode>General</c:formatCode>
                <c:ptCount val="3"/>
                <c:pt idx="0">
                  <c:v>7.5</c:v>
                </c:pt>
                <c:pt idx="1">
                  <c:v>5.5</c:v>
                </c:pt>
                <c:pt idx="2">
                  <c:v>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D6E-4B94-8C6E-C66FAD4D69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61432336"/>
        <c:axId val="1761429456"/>
      </c:barChart>
      <c:catAx>
        <c:axId val="176143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n-US"/>
          </a:p>
        </c:txPr>
        <c:crossAx val="1761429456"/>
        <c:crosses val="autoZero"/>
        <c:auto val="1"/>
        <c:lblAlgn val="ctr"/>
        <c:lblOffset val="100"/>
        <c:noMultiLvlLbl val="0"/>
      </c:catAx>
      <c:valAx>
        <c:axId val="17614294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r>
                  <a:rPr lang="en-US"/>
                  <a:t>Deaths per 1000,000 Residents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ontserrat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n-US"/>
          </a:p>
        </c:txPr>
        <c:crossAx val="1761432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ontserrat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pattFill prst="wdDnDiag">
                <a:fgClr>
                  <a:schemeClr val="tx2">
                    <a:lumMod val="25000"/>
                    <a:lumOff val="7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62D-4FA9-8075-C207E4C749B5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fld id="{D571D1A0-5FB8-4203-853D-2843D5740EFB}" type="VALUE">
                      <a:rPr lang="en-US"/>
                      <a:pPr/>
                      <a:t>[VALUE]</a:t>
                    </a:fld>
                    <a:r>
                      <a:rPr lang="en-US"/>
                      <a:t>*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A62D-4FA9-8075-C207E4C749B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2042AF1-5691-4138-8ADC-6B978767C7B4}" type="VALUE">
                      <a:rPr lang="en-US"/>
                      <a:pPr/>
                      <a:t>[VALUE]</a:t>
                    </a:fld>
                    <a:r>
                      <a:rPr lang="en-US"/>
                      <a:t>*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A62D-4FA9-8075-C207E4C749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'OUTPUT-7'!$A$12:$E$12</c:f>
              <c:strCache>
                <c:ptCount val="5"/>
                <c:pt idx="0">
                  <c:v>Asian</c:v>
                </c:pt>
                <c:pt idx="1">
                  <c:v>Black</c:v>
                </c:pt>
                <c:pt idx="2">
                  <c:v>Latinx</c:v>
                </c:pt>
                <c:pt idx="3">
                  <c:v>White</c:v>
                </c:pt>
                <c:pt idx="4">
                  <c:v>Boston</c:v>
                </c:pt>
              </c:strCache>
            </c:strRef>
          </c:cat>
          <c:val>
            <c:numRef>
              <c:f>'OUTPUT-7'!$A$13:$E$13</c:f>
              <c:numCache>
                <c:formatCode>General</c:formatCode>
                <c:ptCount val="5"/>
                <c:pt idx="0">
                  <c:v>4.8</c:v>
                </c:pt>
                <c:pt idx="1">
                  <c:v>13.6</c:v>
                </c:pt>
                <c:pt idx="2">
                  <c:v>7.5</c:v>
                </c:pt>
                <c:pt idx="3">
                  <c:v>5.5</c:v>
                </c:pt>
                <c:pt idx="4">
                  <c:v>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2D-4FA9-8075-C207E4C749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61432336"/>
        <c:axId val="1761429456"/>
      </c:barChart>
      <c:catAx>
        <c:axId val="176143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n-US"/>
          </a:p>
        </c:txPr>
        <c:crossAx val="1761429456"/>
        <c:crosses val="autoZero"/>
        <c:auto val="1"/>
        <c:lblAlgn val="ctr"/>
        <c:lblOffset val="100"/>
        <c:noMultiLvlLbl val="0"/>
      </c:catAx>
      <c:valAx>
        <c:axId val="17614294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r>
                  <a:rPr lang="en-US"/>
                  <a:t>Hospitalizations per 10,000 Residents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ontserrat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n-US"/>
          </a:p>
        </c:txPr>
        <c:crossAx val="1761432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ontserrat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pattFill prst="wdDnDiag">
                <a:fgClr>
                  <a:schemeClr val="tx2">
                    <a:lumMod val="25000"/>
                    <a:lumOff val="7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39D-4281-A5DD-F3B3F1993DDE}"/>
              </c:ext>
            </c:extLst>
          </c:dPt>
          <c:dPt>
            <c:idx val="8"/>
            <c:invertIfNegative val="0"/>
            <c:bubble3D val="0"/>
            <c:spPr>
              <a:pattFill prst="wdDnDiag">
                <a:fgClr>
                  <a:schemeClr val="tx2">
                    <a:lumMod val="25000"/>
                    <a:lumOff val="7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39D-4281-A5DD-F3B3F1993DDE}"/>
              </c:ext>
            </c:extLst>
          </c:dPt>
          <c:dLbls>
            <c:dLbl>
              <c:idx val="1"/>
              <c:tx>
                <c:rich>
                  <a:bodyPr/>
                  <a:lstStyle/>
                  <a:p>
                    <a:fld id="{A204E2A9-7288-41B4-BE43-26D17E484EC6}" type="VALUE">
                      <a:rPr lang="en-US"/>
                      <a:pPr/>
                      <a:t>[VALUE]</a:t>
                    </a:fld>
                    <a:r>
                      <a:rPr lang="en-US"/>
                      <a:t>*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939D-4281-A5DD-F3B3F1993DD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6F1995B-8E71-4CF6-938A-F265CB8D4BED}" type="VALUE">
                      <a:rPr lang="en-US"/>
                      <a:pPr/>
                      <a:t>[VALUE]</a:t>
                    </a:fld>
                    <a:r>
                      <a:rPr lang="en-US"/>
                      <a:t>*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939D-4281-A5DD-F3B3F1993DD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467D49A-4147-42C4-A956-A270B6384D07}" type="VALUE">
                      <a:rPr lang="en-US"/>
                      <a:pPr/>
                      <a:t>[VALUE]</a:t>
                    </a:fld>
                    <a:r>
                      <a:rPr lang="en-US"/>
                      <a:t>*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939D-4281-A5DD-F3B3F1993DD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944B289-6F97-4B97-BA6F-87D6975785F4}" type="VALUE">
                      <a:rPr lang="en-US"/>
                      <a:pPr/>
                      <a:t>[VALUE]</a:t>
                    </a:fld>
                    <a:r>
                      <a:rPr lang="en-US"/>
                      <a:t>*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939D-4281-A5DD-F3B3F1993D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'OUTPUT-8'!$B$5:$K$6</c:f>
              <c:multiLvlStrCache>
                <c:ptCount val="10"/>
                <c:lvl>
                  <c:pt idx="0">
                    <c:v>Asian</c:v>
                  </c:pt>
                  <c:pt idx="1">
                    <c:v>Black</c:v>
                  </c:pt>
                  <c:pt idx="2">
                    <c:v>Latinx</c:v>
                  </c:pt>
                  <c:pt idx="3">
                    <c:v>White</c:v>
                  </c:pt>
                  <c:pt idx="4">
                    <c:v>Boston</c:v>
                  </c:pt>
                  <c:pt idx="5">
                    <c:v>Asian</c:v>
                  </c:pt>
                  <c:pt idx="6">
                    <c:v>Black</c:v>
                  </c:pt>
                  <c:pt idx="7">
                    <c:v>Latinx</c:v>
                  </c:pt>
                  <c:pt idx="8">
                    <c:v>White</c:v>
                  </c:pt>
                  <c:pt idx="9">
                    <c:v>Boston</c:v>
                  </c:pt>
                </c:lvl>
                <c:lvl>
                  <c:pt idx="0">
                    <c:v>Female</c:v>
                  </c:pt>
                  <c:pt idx="5">
                    <c:v>Male</c:v>
                  </c:pt>
                </c:lvl>
              </c:multiLvlStrCache>
            </c:multiLvlStrRef>
          </c:cat>
          <c:val>
            <c:numRef>
              <c:f>'OUTPUT-8'!$B$7:$K$7</c:f>
              <c:numCache>
                <c:formatCode>0.0</c:formatCode>
                <c:ptCount val="10"/>
                <c:pt idx="0">
                  <c:v>4</c:v>
                </c:pt>
                <c:pt idx="1">
                  <c:v>12</c:v>
                </c:pt>
                <c:pt idx="2">
                  <c:v>6.4</c:v>
                </c:pt>
                <c:pt idx="3">
                  <c:v>4.5</c:v>
                </c:pt>
                <c:pt idx="4">
                  <c:v>6.7</c:v>
                </c:pt>
                <c:pt idx="5">
                  <c:v>5.9</c:v>
                </c:pt>
                <c:pt idx="6">
                  <c:v>15.9</c:v>
                </c:pt>
                <c:pt idx="7">
                  <c:v>9</c:v>
                </c:pt>
                <c:pt idx="8">
                  <c:v>6.5</c:v>
                </c:pt>
                <c:pt idx="9">
                  <c:v>9.1999999999999993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39D-4281-A5DD-F3B3F1993DD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61432336"/>
        <c:axId val="1761429456"/>
      </c:barChart>
      <c:catAx>
        <c:axId val="176143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n-US"/>
          </a:p>
        </c:txPr>
        <c:crossAx val="1761429456"/>
        <c:crosses val="autoZero"/>
        <c:auto val="1"/>
        <c:lblAlgn val="ctr"/>
        <c:lblOffset val="100"/>
        <c:noMultiLvlLbl val="0"/>
      </c:catAx>
      <c:valAx>
        <c:axId val="17614294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r>
                  <a:rPr lang="en-US"/>
                  <a:t>Hospitalizations per 10,000 Residents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ontserrat" pitchFamily="2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en-US"/>
          </a:p>
        </c:txPr>
        <c:crossAx val="1761432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Montserrat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13</xdr:row>
      <xdr:rowOff>0</xdr:rowOff>
    </xdr:from>
    <xdr:to>
      <xdr:col>11</xdr:col>
      <xdr:colOff>257175</xdr:colOff>
      <xdr:row>14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33B592-4BD6-45F6-937D-5D99CF956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2695575"/>
          <a:ext cx="25717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214312</xdr:colOff>
      <xdr:row>7</xdr:row>
      <xdr:rowOff>33337</xdr:rowOff>
    </xdr:from>
    <xdr:to>
      <xdr:col>8</xdr:col>
      <xdr:colOff>457200</xdr:colOff>
      <xdr:row>8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9646D5B-2605-4BD7-9D2E-FEE3BB551BFF}"/>
            </a:ext>
          </a:extLst>
        </xdr:cNvPr>
        <xdr:cNvSpPr txBox="1"/>
      </xdr:nvSpPr>
      <xdr:spPr>
        <a:xfrm>
          <a:off x="8653462" y="1566862"/>
          <a:ext cx="242888" cy="2714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5</xdr:col>
      <xdr:colOff>295275</xdr:colOff>
      <xdr:row>10</xdr:row>
      <xdr:rowOff>0</xdr:rowOff>
    </xdr:from>
    <xdr:to>
      <xdr:col>8</xdr:col>
      <xdr:colOff>381000</xdr:colOff>
      <xdr:row>22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BF2497F-69E0-4AA3-9123-248A6BCF3559}"/>
            </a:ext>
            <a:ext uri="{147F2762-F138-4A5C-976F-8EAC2B608ADB}">
              <a16:predDERef xmlns:a16="http://schemas.microsoft.com/office/drawing/2014/main" pred="{29646D5B-2605-4BD7-9D2E-FEE3BB551BFF}"/>
            </a:ext>
          </a:extLst>
        </xdr:cNvPr>
        <xdr:cNvSpPr txBox="1"/>
      </xdr:nvSpPr>
      <xdr:spPr>
        <a:xfrm>
          <a:off x="5886450" y="2124075"/>
          <a:ext cx="2933700" cy="2400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For the combined years 2017-2023, the age-adjusted overall cancer</a:t>
          </a:r>
          <a:r>
            <a:rPr lang="en-US" sz="1100" baseline="0"/>
            <a:t> mortality rate for Asian residents of Boston (110.5) was lower in comparison to the rate for the rest of Boston (130.6).  </a:t>
          </a:r>
        </a:p>
        <a:p>
          <a:r>
            <a:rPr lang="en-US" sz="1100" baseline="0"/>
            <a:t>The age-adjusted overall cancer mortality rate for female Asian residents of Boston (87.9) was lower in comparison to the rate for the rest of female Boston residents (113.5).</a:t>
          </a:r>
          <a:endParaRPr lang="en-US" sz="1100"/>
        </a:p>
      </xdr:txBody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304800</xdr:colOff>
      <xdr:row>29</xdr:row>
      <xdr:rowOff>114300</xdr:rowOff>
    </xdr:to>
    <xdr:sp macro="" textlink="">
      <xdr:nvSpPr>
        <xdr:cNvPr id="5" name="AutoShape 4">
          <a:extLst>
            <a:ext uri="{FF2B5EF4-FFF2-40B4-BE49-F238E27FC236}">
              <a16:creationId xmlns:a16="http://schemas.microsoft.com/office/drawing/2014/main" id="{F5544139-0CEB-452A-9186-CFB69AAB0546}"/>
            </a:ext>
          </a:extLst>
        </xdr:cNvPr>
        <xdr:cNvSpPr>
          <a:spLocks noChangeAspect="1" noChangeArrowheads="1"/>
        </xdr:cNvSpPr>
      </xdr:nvSpPr>
      <xdr:spPr bwMode="auto">
        <a:xfrm>
          <a:off x="0" y="555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304800</xdr:colOff>
      <xdr:row>30</xdr:row>
      <xdr:rowOff>114300</xdr:rowOff>
    </xdr:to>
    <xdr:sp macro="" textlink="">
      <xdr:nvSpPr>
        <xdr:cNvPr id="6" name="AutoShape 5">
          <a:extLst>
            <a:ext uri="{FF2B5EF4-FFF2-40B4-BE49-F238E27FC236}">
              <a16:creationId xmlns:a16="http://schemas.microsoft.com/office/drawing/2014/main" id="{363BE855-B1D7-496F-A5AC-3287ADFBF39B}"/>
            </a:ext>
          </a:extLst>
        </xdr:cNvPr>
        <xdr:cNvSpPr>
          <a:spLocks noChangeAspect="1" noChangeArrowheads="1"/>
        </xdr:cNvSpPr>
      </xdr:nvSpPr>
      <xdr:spPr bwMode="auto">
        <a:xfrm>
          <a:off x="0" y="574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304800</xdr:colOff>
      <xdr:row>30</xdr:row>
      <xdr:rowOff>114300</xdr:rowOff>
    </xdr:to>
    <xdr:sp macro="" textlink="">
      <xdr:nvSpPr>
        <xdr:cNvPr id="7" name="AutoShape 6">
          <a:extLst>
            <a:ext uri="{FF2B5EF4-FFF2-40B4-BE49-F238E27FC236}">
              <a16:creationId xmlns:a16="http://schemas.microsoft.com/office/drawing/2014/main" id="{E6088A9B-F8A8-4EC6-9574-DB5FE9F794E9}"/>
            </a:ext>
          </a:extLst>
        </xdr:cNvPr>
        <xdr:cNvSpPr>
          <a:spLocks noChangeAspect="1" noChangeArrowheads="1"/>
        </xdr:cNvSpPr>
      </xdr:nvSpPr>
      <xdr:spPr bwMode="auto">
        <a:xfrm>
          <a:off x="0" y="574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30</xdr:row>
      <xdr:rowOff>114300</xdr:rowOff>
    </xdr:to>
    <xdr:sp macro="" textlink="">
      <xdr:nvSpPr>
        <xdr:cNvPr id="8" name="AutoShape 8">
          <a:extLst>
            <a:ext uri="{FF2B5EF4-FFF2-40B4-BE49-F238E27FC236}">
              <a16:creationId xmlns:a16="http://schemas.microsoft.com/office/drawing/2014/main" id="{02402D38-B1EA-4DB9-B4EA-89609936D4CC}"/>
            </a:ext>
          </a:extLst>
        </xdr:cNvPr>
        <xdr:cNvSpPr>
          <a:spLocks noChangeAspect="1" noChangeArrowheads="1"/>
        </xdr:cNvSpPr>
      </xdr:nvSpPr>
      <xdr:spPr bwMode="auto">
        <a:xfrm>
          <a:off x="1352550" y="574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0</xdr:col>
      <xdr:colOff>476250</xdr:colOff>
      <xdr:row>26</xdr:row>
      <xdr:rowOff>180976</xdr:rowOff>
    </xdr:from>
    <xdr:to>
      <xdr:col>4</xdr:col>
      <xdr:colOff>1104900</xdr:colOff>
      <xdr:row>30</xdr:row>
      <xdr:rowOff>85726</xdr:rowOff>
    </xdr:to>
    <xdr:sp macro="" textlink="">
      <xdr:nvSpPr>
        <xdr:cNvPr id="9" name="TextBox 6">
          <a:extLst>
            <a:ext uri="{FF2B5EF4-FFF2-40B4-BE49-F238E27FC236}">
              <a16:creationId xmlns:a16="http://schemas.microsoft.com/office/drawing/2014/main" id="{35F9A8FE-A832-414B-B3C7-FC5F6FE592D9}"/>
            </a:ext>
          </a:extLst>
        </xdr:cNvPr>
        <xdr:cNvSpPr txBox="1"/>
      </xdr:nvSpPr>
      <xdr:spPr>
        <a:xfrm>
          <a:off x="476250" y="5353051"/>
          <a:ext cx="5086350" cy="666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†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Age‐adjusted rates per 100,000 residents</a:t>
          </a:r>
          <a:endParaRPr lang="en-US">
            <a:effectLst/>
          </a:endParaRPr>
        </a:p>
        <a:p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Statistically significant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difference when compared to reference group</a:t>
          </a:r>
          <a:endParaRPr lang="en-US" sz="1100"/>
        </a:p>
        <a:p>
          <a:r>
            <a:rPr lang="en-US" sz="1100"/>
            <a:t>DATA SOURCE: Boston resident deaths, Massachusetts Department of Public Health</a:t>
          </a:r>
        </a:p>
      </xdr:txBody>
    </xdr:sp>
    <xdr:clientData/>
  </xdr:twoCellAnchor>
  <xdr:twoCellAnchor>
    <xdr:from>
      <xdr:col>0</xdr:col>
      <xdr:colOff>352425</xdr:colOff>
      <xdr:row>8</xdr:row>
      <xdr:rowOff>52387</xdr:rowOff>
    </xdr:from>
    <xdr:to>
      <xdr:col>5</xdr:col>
      <xdr:colOff>114300</xdr:colOff>
      <xdr:row>25</xdr:row>
      <xdr:rowOff>47625</xdr:rowOff>
    </xdr:to>
    <xdr:graphicFrame macro="">
      <xdr:nvGraphicFramePr>
        <xdr:cNvPr id="10" name="Chart 8">
          <a:extLst>
            <a:ext uri="{FF2B5EF4-FFF2-40B4-BE49-F238E27FC236}">
              <a16:creationId xmlns:a16="http://schemas.microsoft.com/office/drawing/2014/main" id="{CB010AF1-59DD-4843-A09D-187ED8FEB780}"/>
            </a:ext>
            <a:ext uri="{147F2762-F138-4A5C-976F-8EAC2B608ADB}">
              <a16:predDERef xmlns:a16="http://schemas.microsoft.com/office/drawing/2014/main" pred="{5656FE02-3152-46E4-A6CA-051FCF4951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257175</xdr:colOff>
      <xdr:row>37</xdr:row>
      <xdr:rowOff>28575</xdr:rowOff>
    </xdr:from>
    <xdr:to>
      <xdr:col>5</xdr:col>
      <xdr:colOff>19050</xdr:colOff>
      <xdr:row>54</xdr:row>
      <xdr:rowOff>4763</xdr:rowOff>
    </xdr:to>
    <xdr:graphicFrame macro="">
      <xdr:nvGraphicFramePr>
        <xdr:cNvPr id="11" name="Chart 9">
          <a:extLst>
            <a:ext uri="{FF2B5EF4-FFF2-40B4-BE49-F238E27FC236}">
              <a16:creationId xmlns:a16="http://schemas.microsoft.com/office/drawing/2014/main" id="{60581F6F-4996-4D5E-A1F6-A3774A505756}"/>
            </a:ext>
            <a:ext uri="{147F2762-F138-4A5C-976F-8EAC2B608ADB}">
              <a16:predDERef xmlns:a16="http://schemas.microsoft.com/office/drawing/2014/main" pred="{6D639EF8-95BF-DBC7-B140-4DE961AFEF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533400</xdr:colOff>
      <xdr:row>54</xdr:row>
      <xdr:rowOff>171450</xdr:rowOff>
    </xdr:from>
    <xdr:to>
      <xdr:col>5</xdr:col>
      <xdr:colOff>28575</xdr:colOff>
      <xdr:row>58</xdr:row>
      <xdr:rowOff>57150</xdr:rowOff>
    </xdr:to>
    <xdr:sp macro="" textlink="">
      <xdr:nvSpPr>
        <xdr:cNvPr id="12" name="TextBox 10">
          <a:extLst>
            <a:ext uri="{FF2B5EF4-FFF2-40B4-BE49-F238E27FC236}">
              <a16:creationId xmlns:a16="http://schemas.microsoft.com/office/drawing/2014/main" id="{3FB2411E-BA02-4A5F-9705-D68FBA9DDC3A}"/>
            </a:ext>
          </a:extLst>
        </xdr:cNvPr>
        <xdr:cNvSpPr txBox="1"/>
      </xdr:nvSpPr>
      <xdr:spPr>
        <a:xfrm>
          <a:off x="533400" y="10896600"/>
          <a:ext cx="5086350" cy="647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†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Age‐adjusted rates per 100,000 residents</a:t>
          </a:r>
          <a:endParaRPr lang="en-US">
            <a:effectLst/>
          </a:endParaRPr>
        </a:p>
        <a:p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Statistically significant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difference when compared to reference group</a:t>
          </a:r>
          <a:endParaRPr lang="en-US" sz="1100"/>
        </a:p>
        <a:p>
          <a:r>
            <a:rPr lang="en-US" sz="1100"/>
            <a:t>DATA SOURCE: Boston resident deaths, Massachusetts Department of Public Health</a:t>
          </a:r>
        </a:p>
      </xdr:txBody>
    </xdr:sp>
    <xdr:clientData/>
  </xdr:twoCellAnchor>
  <xdr:twoCellAnchor>
    <xdr:from>
      <xdr:col>5</xdr:col>
      <xdr:colOff>276225</xdr:colOff>
      <xdr:row>38</xdr:row>
      <xdr:rowOff>104775</xdr:rowOff>
    </xdr:from>
    <xdr:to>
      <xdr:col>8</xdr:col>
      <xdr:colOff>9525</xdr:colOff>
      <xdr:row>53</xdr:row>
      <xdr:rowOff>47625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CA878FD0-D562-4D3F-BC1E-BC441C1D2008}"/>
            </a:ext>
          </a:extLst>
        </xdr:cNvPr>
        <xdr:cNvSpPr txBox="1"/>
      </xdr:nvSpPr>
      <xdr:spPr>
        <a:xfrm>
          <a:off x="5867400" y="7781925"/>
          <a:ext cx="2581275" cy="2800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For the combined years 2017-2023, the age-adjusted overall cancer</a:t>
          </a:r>
          <a:r>
            <a:rPr lang="en-US" sz="1100" baseline="0"/>
            <a:t> mortality rate for Black residents of Boston (160.4) was higher in comparison to the rate for the rest of Boston (118.3).  </a:t>
          </a:r>
        </a:p>
        <a:p>
          <a:r>
            <a:rPr lang="en-US" sz="1100" baseline="0"/>
            <a:t>The age-adjusted overall cancer mortality rate for female Black residents of Boston (136.1) was higher in comparison to the rate for the rest of female Boston residents (102.1).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age-adjusted overall cancer mortality rate for male Black residents of Boston (200.5) was higher in comparison to the rate for the rest of male Boston residents (141.5).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219075</xdr:colOff>
      <xdr:row>65</xdr:row>
      <xdr:rowOff>142875</xdr:rowOff>
    </xdr:from>
    <xdr:to>
      <xdr:col>4</xdr:col>
      <xdr:colOff>1114425</xdr:colOff>
      <xdr:row>82</xdr:row>
      <xdr:rowOff>119063</xdr:rowOff>
    </xdr:to>
    <xdr:graphicFrame macro="">
      <xdr:nvGraphicFramePr>
        <xdr:cNvPr id="14" name="Chart 12">
          <a:extLst>
            <a:ext uri="{FF2B5EF4-FFF2-40B4-BE49-F238E27FC236}">
              <a16:creationId xmlns:a16="http://schemas.microsoft.com/office/drawing/2014/main" id="{0C1F48B3-DD25-4630-BAE3-F453376DCF86}"/>
            </a:ext>
            <a:ext uri="{147F2762-F138-4A5C-976F-8EAC2B608ADB}">
              <a16:predDERef xmlns:a16="http://schemas.microsoft.com/office/drawing/2014/main" pred="{EE4426E6-F564-426C-B0A3-9AED9CBA55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190500</xdr:colOff>
      <xdr:row>83</xdr:row>
      <xdr:rowOff>95250</xdr:rowOff>
    </xdr:from>
    <xdr:to>
      <xdr:col>4</xdr:col>
      <xdr:colOff>819150</xdr:colOff>
      <xdr:row>86</xdr:row>
      <xdr:rowOff>171450</xdr:rowOff>
    </xdr:to>
    <xdr:sp macro="" textlink="">
      <xdr:nvSpPr>
        <xdr:cNvPr id="15" name="TextBox 13">
          <a:extLst>
            <a:ext uri="{FF2B5EF4-FFF2-40B4-BE49-F238E27FC236}">
              <a16:creationId xmlns:a16="http://schemas.microsoft.com/office/drawing/2014/main" id="{005A518D-29F0-4E5F-8084-40F405CD139E}"/>
            </a:ext>
          </a:extLst>
        </xdr:cNvPr>
        <xdr:cNvSpPr txBox="1"/>
      </xdr:nvSpPr>
      <xdr:spPr>
        <a:xfrm>
          <a:off x="190500" y="16554450"/>
          <a:ext cx="5086350" cy="647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†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Age‐adjusted rates per 100,000 residents</a:t>
          </a:r>
          <a:endParaRPr lang="en-US">
            <a:effectLst/>
          </a:endParaRPr>
        </a:p>
        <a:p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Statistically significant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difference when compared to reference group</a:t>
          </a:r>
          <a:endParaRPr lang="en-US" sz="1100"/>
        </a:p>
        <a:p>
          <a:r>
            <a:rPr lang="en-US" sz="1100"/>
            <a:t>DATA SOURCE: Boston resident deaths, Massachusetts Department of Public Health</a:t>
          </a:r>
        </a:p>
      </xdr:txBody>
    </xdr:sp>
    <xdr:clientData/>
  </xdr:twoCellAnchor>
  <xdr:twoCellAnchor>
    <xdr:from>
      <xdr:col>5</xdr:col>
      <xdr:colOff>190500</xdr:colOff>
      <xdr:row>65</xdr:row>
      <xdr:rowOff>142875</xdr:rowOff>
    </xdr:from>
    <xdr:to>
      <xdr:col>7</xdr:col>
      <xdr:colOff>533400</xdr:colOff>
      <xdr:row>80</xdr:row>
      <xdr:rowOff>85725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8885638-6B49-40C0-91DA-C2E9A67A6AC7}"/>
            </a:ext>
          </a:extLst>
        </xdr:cNvPr>
        <xdr:cNvSpPr txBox="1"/>
      </xdr:nvSpPr>
      <xdr:spPr>
        <a:xfrm>
          <a:off x="5781675" y="13173075"/>
          <a:ext cx="2581275" cy="2800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For the combined years 2017-2023, the age-adjusted overall cancer</a:t>
          </a:r>
          <a:r>
            <a:rPr lang="en-US" sz="1100" baseline="0"/>
            <a:t> mortality rate for Latinx residents of Boston (86.6) was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lower</a:t>
          </a:r>
          <a:r>
            <a:rPr lang="en-US" sz="1100" baseline="0"/>
            <a:t> in comparison to the rate for the rest of Boston (135.0).  </a:t>
          </a:r>
        </a:p>
        <a:p>
          <a:r>
            <a:rPr lang="en-US" sz="1100" baseline="0"/>
            <a:t>The age-adjusted overall cancer mortality rate for female Latinx residents of Boston (68.6) was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lower</a:t>
          </a:r>
          <a:r>
            <a:rPr lang="en-US" sz="1100" baseline="0"/>
            <a:t> in comparison to the rate for the rest of female Boston residents (118.5).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age-adjusted overall cancer mortality rate for male Latinx residents of Boston (117.2) was lower in comparison to the rate for the rest of male Boston residents (159.3).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33</xdr:row>
      <xdr:rowOff>171450</xdr:rowOff>
    </xdr:from>
    <xdr:to>
      <xdr:col>6</xdr:col>
      <xdr:colOff>228600</xdr:colOff>
      <xdr:row>37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9E8DFBA-E152-4420-8E81-83A792C3B170}"/>
            </a:ext>
          </a:extLst>
        </xdr:cNvPr>
        <xdr:cNvSpPr txBox="1"/>
      </xdr:nvSpPr>
      <xdr:spPr>
        <a:xfrm>
          <a:off x="104775" y="6477000"/>
          <a:ext cx="5086350" cy="666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†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Age‐adjusted rates per 100,000 residents</a:t>
          </a:r>
          <a:endParaRPr lang="en-US">
            <a:effectLst/>
          </a:endParaRPr>
        </a:p>
        <a:p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Statistically significant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difference when compared to reference group</a:t>
          </a:r>
          <a:endParaRPr lang="en-US" sz="1100"/>
        </a:p>
        <a:p>
          <a:r>
            <a:rPr lang="en-US" sz="1100"/>
            <a:t>DATA SOURCE: Boston resident deaths, Massachusetts Department of Public Health</a:t>
          </a:r>
        </a:p>
      </xdr:txBody>
    </xdr:sp>
    <xdr:clientData/>
  </xdr:twoCellAnchor>
  <xdr:twoCellAnchor>
    <xdr:from>
      <xdr:col>0</xdr:col>
      <xdr:colOff>128587</xdr:colOff>
      <xdr:row>18</xdr:row>
      <xdr:rowOff>138112</xdr:rowOff>
    </xdr:from>
    <xdr:to>
      <xdr:col>5</xdr:col>
      <xdr:colOff>347662</xdr:colOff>
      <xdr:row>33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A5E32F-70A0-4225-94B2-34DD5DC4322A}"/>
            </a:ext>
            <a:ext uri="{147F2762-F138-4A5C-976F-8EAC2B608ADB}">
              <a16:predDERef xmlns:a16="http://schemas.microsoft.com/office/drawing/2014/main" pred="{44BC9298-0876-425A-BAF0-046F1473B4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552450</xdr:colOff>
      <xdr:row>22</xdr:row>
      <xdr:rowOff>0</xdr:rowOff>
    </xdr:from>
    <xdr:to>
      <xdr:col>8</xdr:col>
      <xdr:colOff>542925</xdr:colOff>
      <xdr:row>28</xdr:row>
      <xdr:rowOff>161925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FF4ECBB-B476-4EFC-A2E0-DFE4AC02DFCB}"/>
            </a:ext>
          </a:extLst>
        </xdr:cNvPr>
        <xdr:cNvSpPr txBox="1"/>
      </xdr:nvSpPr>
      <xdr:spPr>
        <a:xfrm>
          <a:off x="4905375" y="4210050"/>
          <a:ext cx="1819275" cy="1304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For</a:t>
          </a:r>
          <a:r>
            <a:rPr lang="en-US" sz="1100" baseline="0"/>
            <a:t> the years 2018-2024, the age-adjusted overall cancer mortality rate for Asian residents (110.8) was lower in comparison to the rate for white residents (131.2).</a:t>
          </a:r>
          <a:endParaRPr lang="en-US" sz="1100"/>
        </a:p>
      </xdr:txBody>
    </xdr:sp>
    <xdr:clientData/>
  </xdr:twoCellAnchor>
  <xdr:twoCellAnchor>
    <xdr:from>
      <xdr:col>0</xdr:col>
      <xdr:colOff>228600</xdr:colOff>
      <xdr:row>43</xdr:row>
      <xdr:rowOff>114300</xdr:rowOff>
    </xdr:from>
    <xdr:to>
      <xdr:col>5</xdr:col>
      <xdr:colOff>447675</xdr:colOff>
      <xdr:row>58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959B0D2-13AF-4325-8F39-662802C6D00E}"/>
            </a:ext>
            <a:ext uri="{147F2762-F138-4A5C-976F-8EAC2B608ADB}">
              <a16:predDERef xmlns:a16="http://schemas.microsoft.com/office/drawing/2014/main" pred="{A3E4E6B4-B662-ED54-07B1-3A62F247E6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228600</xdr:colOff>
      <xdr:row>58</xdr:row>
      <xdr:rowOff>171450</xdr:rowOff>
    </xdr:from>
    <xdr:to>
      <xdr:col>6</xdr:col>
      <xdr:colOff>352425</xdr:colOff>
      <xdr:row>62</xdr:row>
      <xdr:rowOff>76200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228D9C8-94A6-4070-9AB9-5B524F3DA7DF}"/>
            </a:ext>
          </a:extLst>
        </xdr:cNvPr>
        <xdr:cNvSpPr txBox="1"/>
      </xdr:nvSpPr>
      <xdr:spPr>
        <a:xfrm>
          <a:off x="228600" y="11325225"/>
          <a:ext cx="5086350" cy="666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†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Age‐adjusted rates per 100,000 residents</a:t>
          </a:r>
          <a:endParaRPr lang="en-US">
            <a:effectLst/>
          </a:endParaRPr>
        </a:p>
        <a:p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Statistically significant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difference when compared to reference group</a:t>
          </a:r>
          <a:endParaRPr lang="en-US" sz="1100"/>
        </a:p>
        <a:p>
          <a:r>
            <a:rPr lang="en-US" sz="1100"/>
            <a:t>DATA SOURCE: Boston resident deaths, Massachusetts Department of Public Health</a:t>
          </a:r>
        </a:p>
      </xdr:txBody>
    </xdr:sp>
    <xdr:clientData/>
  </xdr:twoCellAnchor>
  <xdr:twoCellAnchor>
    <xdr:from>
      <xdr:col>6</xdr:col>
      <xdr:colOff>190500</xdr:colOff>
      <xdr:row>45</xdr:row>
      <xdr:rowOff>0</xdr:rowOff>
    </xdr:from>
    <xdr:to>
      <xdr:col>9</xdr:col>
      <xdr:colOff>180975</xdr:colOff>
      <xdr:row>51</xdr:row>
      <xdr:rowOff>161925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4A4A59B4-7C54-451F-B233-E3C291C3D672}"/>
            </a:ext>
          </a:extLst>
        </xdr:cNvPr>
        <xdr:cNvSpPr txBox="1"/>
      </xdr:nvSpPr>
      <xdr:spPr>
        <a:xfrm>
          <a:off x="5153025" y="8677275"/>
          <a:ext cx="1819275" cy="1304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For</a:t>
          </a:r>
          <a:r>
            <a:rPr lang="en-US" sz="1100" baseline="0"/>
            <a:t> the years 2018-2024, the age-adjusted overall cancer mortality rate for Black residents (156.3) was higher in comparison to the rate for white residents (131.2).</a:t>
          </a:r>
          <a:endParaRPr lang="en-US" sz="1100"/>
        </a:p>
      </xdr:txBody>
    </xdr:sp>
    <xdr:clientData/>
  </xdr:twoCellAnchor>
  <xdr:twoCellAnchor>
    <xdr:from>
      <xdr:col>0</xdr:col>
      <xdr:colOff>123825</xdr:colOff>
      <xdr:row>67</xdr:row>
      <xdr:rowOff>104775</xdr:rowOff>
    </xdr:from>
    <xdr:to>
      <xdr:col>5</xdr:col>
      <xdr:colOff>342900</xdr:colOff>
      <xdr:row>81</xdr:row>
      <xdr:rowOff>180975</xdr:rowOff>
    </xdr:to>
    <xdr:graphicFrame macro="">
      <xdr:nvGraphicFramePr>
        <xdr:cNvPr id="8" name="Chart 10">
          <a:extLst>
            <a:ext uri="{FF2B5EF4-FFF2-40B4-BE49-F238E27FC236}">
              <a16:creationId xmlns:a16="http://schemas.microsoft.com/office/drawing/2014/main" id="{5CD06856-3E75-4402-8CBE-AC0BE4FE42DD}"/>
            </a:ext>
            <a:ext uri="{147F2762-F138-4A5C-976F-8EAC2B608ADB}">
              <a16:predDERef xmlns:a16="http://schemas.microsoft.com/office/drawing/2014/main" pred="{18478B39-16DB-45D6-B045-2D2E31BF35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180975</xdr:colOff>
      <xdr:row>82</xdr:row>
      <xdr:rowOff>104775</xdr:rowOff>
    </xdr:from>
    <xdr:to>
      <xdr:col>6</xdr:col>
      <xdr:colOff>304800</xdr:colOff>
      <xdr:row>86</xdr:row>
      <xdr:rowOff>9525</xdr:rowOff>
    </xdr:to>
    <xdr:sp macro="" textlink="">
      <xdr:nvSpPr>
        <xdr:cNvPr id="9" name="TextBox 11">
          <a:extLst>
            <a:ext uri="{FF2B5EF4-FFF2-40B4-BE49-F238E27FC236}">
              <a16:creationId xmlns:a16="http://schemas.microsoft.com/office/drawing/2014/main" id="{110E1574-C903-4588-BF3F-B8CC5C42B457}"/>
            </a:ext>
          </a:extLst>
        </xdr:cNvPr>
        <xdr:cNvSpPr txBox="1"/>
      </xdr:nvSpPr>
      <xdr:spPr>
        <a:xfrm>
          <a:off x="180975" y="15849600"/>
          <a:ext cx="5086350" cy="666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†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Age‐adjusted rates per 100,000 residents</a:t>
          </a:r>
          <a:endParaRPr lang="en-US">
            <a:effectLst/>
          </a:endParaRPr>
        </a:p>
        <a:p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Statistically significant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difference when compared to reference group</a:t>
          </a:r>
          <a:endParaRPr lang="en-US" sz="1100"/>
        </a:p>
        <a:p>
          <a:r>
            <a:rPr lang="en-US" sz="1100"/>
            <a:t>DATA SOURCE: Boston resident deaths, Massachusetts Department of Public Health</a:t>
          </a:r>
        </a:p>
      </xdr:txBody>
    </xdr:sp>
    <xdr:clientData/>
  </xdr:twoCellAnchor>
  <xdr:twoCellAnchor>
    <xdr:from>
      <xdr:col>6</xdr:col>
      <xdr:colOff>95250</xdr:colOff>
      <xdr:row>68</xdr:row>
      <xdr:rowOff>142875</xdr:rowOff>
    </xdr:from>
    <xdr:to>
      <xdr:col>9</xdr:col>
      <xdr:colOff>85725</xdr:colOff>
      <xdr:row>75</xdr:row>
      <xdr:rowOff>114300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5E66ED0-FCC3-4A6E-88F9-599E27B53A7E}"/>
            </a:ext>
          </a:extLst>
        </xdr:cNvPr>
        <xdr:cNvSpPr txBox="1"/>
      </xdr:nvSpPr>
      <xdr:spPr>
        <a:xfrm>
          <a:off x="5057775" y="13220700"/>
          <a:ext cx="1819275" cy="1304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For</a:t>
          </a:r>
          <a:r>
            <a:rPr lang="en-US" sz="1100" baseline="0"/>
            <a:t> the years 2018-2024, the age-adjusted overall cancer mortality rate for Latinx residents (88.4) was lower in comparison to the rate for white residents (131.2).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16</xdr:row>
      <xdr:rowOff>76200</xdr:rowOff>
    </xdr:from>
    <xdr:to>
      <xdr:col>7</xdr:col>
      <xdr:colOff>438150</xdr:colOff>
      <xdr:row>30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CE502C-F09F-46B8-B624-50BA41083A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133350</xdr:colOff>
      <xdr:row>31</xdr:row>
      <xdr:rowOff>114300</xdr:rowOff>
    </xdr:from>
    <xdr:to>
      <xdr:col>8</xdr:col>
      <xdr:colOff>342900</xdr:colOff>
      <xdr:row>35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AAA7671-EC83-41B8-9C6D-A6736EE07B7A}"/>
            </a:ext>
          </a:extLst>
        </xdr:cNvPr>
        <xdr:cNvSpPr txBox="1"/>
      </xdr:nvSpPr>
      <xdr:spPr>
        <a:xfrm>
          <a:off x="133350" y="6038850"/>
          <a:ext cx="5086350" cy="666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†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Age‐adjusted rates per 100,000 residents</a:t>
          </a:r>
          <a:endParaRPr lang="en-US">
            <a:effectLst/>
          </a:endParaRPr>
        </a:p>
        <a:p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Statistically significant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difference when compared to reference group</a:t>
          </a:r>
          <a:endParaRPr lang="en-US" sz="1100"/>
        </a:p>
        <a:p>
          <a:r>
            <a:rPr lang="en-US" sz="1100"/>
            <a:t>DATA SOURCE: Boston resident deaths, Massachusetts Department of Public Health</a:t>
          </a:r>
        </a:p>
      </xdr:txBody>
    </xdr:sp>
    <xdr:clientData/>
  </xdr:twoCellAnchor>
  <xdr:twoCellAnchor>
    <xdr:from>
      <xdr:col>8</xdr:col>
      <xdr:colOff>95250</xdr:colOff>
      <xdr:row>17</xdr:row>
      <xdr:rowOff>38100</xdr:rowOff>
    </xdr:from>
    <xdr:to>
      <xdr:col>11</xdr:col>
      <xdr:colOff>390525</xdr:colOff>
      <xdr:row>26</xdr:row>
      <xdr:rowOff>171450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D7D2FF8-E4EE-416A-88BF-842CFE75ECD7}"/>
            </a:ext>
          </a:extLst>
        </xdr:cNvPr>
        <xdr:cNvSpPr txBox="1"/>
      </xdr:nvSpPr>
      <xdr:spPr>
        <a:xfrm>
          <a:off x="4972050" y="3295650"/>
          <a:ext cx="2124075" cy="1847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For</a:t>
          </a:r>
          <a:r>
            <a:rPr lang="en-US" sz="1100" baseline="0"/>
            <a:t> the years 2018-2024, the age-adjusted overall cancer mortality rates for Asian residents (110.8) and Latinx residents (88.4) were lower in comparison to the rate for white residents (131.2).</a:t>
          </a:r>
        </a:p>
        <a:p>
          <a:endParaRPr lang="en-US" sz="1100" baseline="0"/>
        </a:p>
        <a:p>
          <a:r>
            <a:rPr lang="en-US" sz="1100" baseline="0"/>
            <a:t>The rate for Black residents (156.3) was higher in comparison to the rate for white residents.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8</xdr:row>
      <xdr:rowOff>28575</xdr:rowOff>
    </xdr:from>
    <xdr:to>
      <xdr:col>10</xdr:col>
      <xdr:colOff>9525</xdr:colOff>
      <xdr:row>25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0F7763-40CB-4057-8B2F-27F43C94E0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228600</xdr:colOff>
      <xdr:row>26</xdr:row>
      <xdr:rowOff>38100</xdr:rowOff>
    </xdr:from>
    <xdr:to>
      <xdr:col>8</xdr:col>
      <xdr:colOff>152400</xdr:colOff>
      <xdr:row>29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EECEEA7-DC88-4D7A-B33D-DF5774C8D005}"/>
            </a:ext>
          </a:extLst>
        </xdr:cNvPr>
        <xdr:cNvSpPr txBox="1"/>
      </xdr:nvSpPr>
      <xdr:spPr>
        <a:xfrm>
          <a:off x="228600" y="5010150"/>
          <a:ext cx="5086350" cy="666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†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Age‐adjusted rates per 100,000 residents</a:t>
          </a:r>
          <a:endParaRPr lang="en-US">
            <a:effectLst/>
          </a:endParaRPr>
        </a:p>
        <a:p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Statistically significant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difference when compared to reference group</a:t>
          </a:r>
          <a:endParaRPr lang="en-US" sz="1100"/>
        </a:p>
        <a:p>
          <a:r>
            <a:rPr lang="en-US" sz="1100"/>
            <a:t>DATA SOURCE: Boston resident deaths, Massachusetts Department of Public Health</a:t>
          </a:r>
        </a:p>
      </xdr:txBody>
    </xdr:sp>
    <xdr:clientData/>
  </xdr:twoCellAnchor>
  <xdr:twoCellAnchor>
    <xdr:from>
      <xdr:col>10</xdr:col>
      <xdr:colOff>171450</xdr:colOff>
      <xdr:row>9</xdr:row>
      <xdr:rowOff>133350</xdr:rowOff>
    </xdr:from>
    <xdr:to>
      <xdr:col>14</xdr:col>
      <xdr:colOff>0</xdr:colOff>
      <xdr:row>26</xdr:row>
      <xdr:rowOff>104775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E51D5E7-F3B9-4590-B4E6-80FDC3DB5D26}"/>
            </a:ext>
          </a:extLst>
        </xdr:cNvPr>
        <xdr:cNvSpPr txBox="1"/>
      </xdr:nvSpPr>
      <xdr:spPr>
        <a:xfrm>
          <a:off x="6553200" y="1866900"/>
          <a:ext cx="2266950" cy="3209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For</a:t>
          </a:r>
          <a:r>
            <a:rPr lang="en-US" sz="1100" baseline="0"/>
            <a:t> the years 2018-2024, the age-adjusted overall cancer mortality rates for Asian female (90.1) and Latinx female (70.0) residents were lower in comparison to the rate for white female residents (118.0).  </a:t>
          </a:r>
        </a:p>
        <a:p>
          <a:r>
            <a:rPr lang="en-US" sz="1100" baseline="0"/>
            <a:t>The rate for Black female residents (133.9) was higher in comparison to white female residents.</a:t>
          </a:r>
        </a:p>
        <a:p>
          <a:endParaRPr lang="en-US" sz="1100" baseline="0"/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years 2018-2024, the age-adjusted overall cancer mortality rate for Latinx male residents (119.6) was lower in comparison to the rate for white male residents (150.6).</a:t>
          </a:r>
          <a:b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rate for Black male residents (193.8) was higher in comparison to white male residents.</a:t>
          </a:r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19</xdr:row>
      <xdr:rowOff>38100</xdr:rowOff>
    </xdr:from>
    <xdr:to>
      <xdr:col>6</xdr:col>
      <xdr:colOff>581025</xdr:colOff>
      <xdr:row>36</xdr:row>
      <xdr:rowOff>14288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0466E8-9C05-4AD9-A112-3497B29D72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152400</xdr:colOff>
      <xdr:row>36</xdr:row>
      <xdr:rowOff>133350</xdr:rowOff>
    </xdr:from>
    <xdr:to>
      <xdr:col>6</xdr:col>
      <xdr:colOff>381000</xdr:colOff>
      <xdr:row>41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ED4384C-EBDB-4D76-AE88-610C91E8CC85}"/>
            </a:ext>
          </a:extLst>
        </xdr:cNvPr>
        <xdr:cNvSpPr txBox="1"/>
      </xdr:nvSpPr>
      <xdr:spPr>
        <a:xfrm>
          <a:off x="152400" y="7210425"/>
          <a:ext cx="5086350" cy="838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†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Age‐adjusted rates per 10,000 residents</a:t>
          </a:r>
          <a:endParaRPr lang="en-US">
            <a:effectLst/>
          </a:endParaRPr>
        </a:p>
        <a:p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Statistically significant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difference when compared to reference group</a:t>
          </a:r>
          <a:endParaRPr lang="en-US" sz="1100"/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 SOURCE: Acute Hospital Case Mix Database, Massachusetts Center for Health Information and Analysis</a:t>
          </a:r>
          <a:endParaRPr lang="en-US">
            <a:effectLst/>
          </a:endParaRPr>
        </a:p>
      </xdr:txBody>
    </xdr:sp>
    <xdr:clientData/>
  </xdr:twoCellAnchor>
  <xdr:twoCellAnchor>
    <xdr:from>
      <xdr:col>7</xdr:col>
      <xdr:colOff>152400</xdr:colOff>
      <xdr:row>19</xdr:row>
      <xdr:rowOff>152400</xdr:rowOff>
    </xdr:from>
    <xdr:to>
      <xdr:col>11</xdr:col>
      <xdr:colOff>295275</xdr:colOff>
      <xdr:row>34</xdr:row>
      <xdr:rowOff>95250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30FBCBE-95CC-4BF1-8166-F04E28BFD862}"/>
            </a:ext>
          </a:extLst>
        </xdr:cNvPr>
        <xdr:cNvSpPr txBox="1"/>
      </xdr:nvSpPr>
      <xdr:spPr>
        <a:xfrm>
          <a:off x="5619750" y="3990975"/>
          <a:ext cx="2581275" cy="2800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For the combined years 2018-2024, the age-adjusted cerebrovascular</a:t>
          </a:r>
          <a:r>
            <a:rPr lang="en-US" sz="1100" baseline="0"/>
            <a:t> hospitalization rate for Asian residents of Boston (4.8) was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lower</a:t>
          </a:r>
          <a:r>
            <a:rPr lang="en-US" sz="1100" baseline="0"/>
            <a:t> in comparison to the rate for the rest of Boston (7.8).  </a:t>
          </a:r>
        </a:p>
        <a:p>
          <a:r>
            <a:rPr lang="en-US" sz="1100" baseline="0"/>
            <a:t>The age-adjusted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cerebrovascular</a:t>
          </a:r>
          <a:r>
            <a:rPr lang="en-US" sz="1100" baseline="0"/>
            <a:t>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hospitalization</a:t>
          </a:r>
          <a:r>
            <a:rPr lang="en-US" sz="1100" baseline="0"/>
            <a:t> rate for female Asian residents of Boston (4.0) was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lower</a:t>
          </a:r>
          <a:r>
            <a:rPr lang="en-US" sz="1100" baseline="0"/>
            <a:t> in comparison to the rate for the rest of female Boston residents (6.7).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age-adjusted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cerebrovascular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hospitalization rate for male Asian residents of Boston (5.9) was lower in comparison to the rate for the rest of male Boston residents (9.2).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66675</xdr:colOff>
      <xdr:row>48</xdr:row>
      <xdr:rowOff>0</xdr:rowOff>
    </xdr:from>
    <xdr:to>
      <xdr:col>6</xdr:col>
      <xdr:colOff>561975</xdr:colOff>
      <xdr:row>64</xdr:row>
      <xdr:rowOff>166688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1C9C367-76BD-4FBE-ACDD-E6F6835AFECD}"/>
            </a:ext>
            <a:ext uri="{147F2762-F138-4A5C-976F-8EAC2B608ADB}">
              <a16:predDERef xmlns:a16="http://schemas.microsoft.com/office/drawing/2014/main" pred="{E196A847-F2B0-4C26-8DA6-4CE79FE6DE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85725</xdr:colOff>
      <xdr:row>65</xdr:row>
      <xdr:rowOff>85725</xdr:rowOff>
    </xdr:from>
    <xdr:to>
      <xdr:col>6</xdr:col>
      <xdr:colOff>314325</xdr:colOff>
      <xdr:row>69</xdr:row>
      <xdr:rowOff>161925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5D8E24E-295D-456B-B7DE-2C02232A3899}"/>
            </a:ext>
          </a:extLst>
        </xdr:cNvPr>
        <xdr:cNvSpPr txBox="1"/>
      </xdr:nvSpPr>
      <xdr:spPr>
        <a:xfrm>
          <a:off x="85725" y="12906375"/>
          <a:ext cx="5086350" cy="838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†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Age‐adjusted rates per 10,000 residents</a:t>
          </a:r>
          <a:endParaRPr lang="en-US">
            <a:effectLst/>
          </a:endParaRPr>
        </a:p>
        <a:p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Statistically significant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difference when compared to reference group</a:t>
          </a:r>
          <a:endParaRPr lang="en-US" sz="1100"/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 SOURCE: Acute Hospital Case Mix Database, Massachusetts Center for Health Information and Analysis</a:t>
          </a:r>
          <a:endParaRPr lang="en-US">
            <a:effectLst/>
          </a:endParaRPr>
        </a:p>
      </xdr:txBody>
    </xdr:sp>
    <xdr:clientData/>
  </xdr:twoCellAnchor>
  <xdr:twoCellAnchor>
    <xdr:from>
      <xdr:col>7</xdr:col>
      <xdr:colOff>57150</xdr:colOff>
      <xdr:row>48</xdr:row>
      <xdr:rowOff>123825</xdr:rowOff>
    </xdr:from>
    <xdr:to>
      <xdr:col>11</xdr:col>
      <xdr:colOff>200025</xdr:colOff>
      <xdr:row>63</xdr:row>
      <xdr:rowOff>66675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0CCAB6B-FB83-47D5-AC44-BDAE30A81073}"/>
            </a:ext>
          </a:extLst>
        </xdr:cNvPr>
        <xdr:cNvSpPr txBox="1"/>
      </xdr:nvSpPr>
      <xdr:spPr>
        <a:xfrm>
          <a:off x="5524500" y="9705975"/>
          <a:ext cx="2581275" cy="2800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For the combined years 2018-2024, the age-adjusted cerebrovascular</a:t>
          </a:r>
          <a:r>
            <a:rPr lang="en-US" sz="1100" baseline="0"/>
            <a:t> hospitalization rate for Black residents of Boston (13.6) was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lower</a:t>
          </a:r>
          <a:r>
            <a:rPr lang="en-US" sz="1100" baseline="0"/>
            <a:t> in comparison to the rate for the rest of Boston (5.7).  </a:t>
          </a:r>
        </a:p>
        <a:p>
          <a:r>
            <a:rPr lang="en-US" sz="1100" baseline="0"/>
            <a:t>The age-adjusted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cerebrovascular</a:t>
          </a:r>
          <a:r>
            <a:rPr lang="en-US" sz="1100" baseline="0"/>
            <a:t>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hospitalization</a:t>
          </a:r>
          <a:r>
            <a:rPr lang="en-US" sz="1100" baseline="0"/>
            <a:t> rate for female Black residents of Boston (12.0) was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lower</a:t>
          </a:r>
          <a:r>
            <a:rPr lang="en-US" sz="1100" baseline="0"/>
            <a:t> in comparison to the rate for the rest of female Boston residents (4.7).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age-adjusted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cerebrovascular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hospitalization rate for male Black residents of Boston (15.9) was lower in comparison to the rate for the rest of male Boston residents (7.0).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  <xdr:twoCellAnchor>
    <xdr:from>
      <xdr:col>0</xdr:col>
      <xdr:colOff>47625</xdr:colOff>
      <xdr:row>76</xdr:row>
      <xdr:rowOff>200025</xdr:rowOff>
    </xdr:from>
    <xdr:to>
      <xdr:col>6</xdr:col>
      <xdr:colOff>542925</xdr:colOff>
      <xdr:row>93</xdr:row>
      <xdr:rowOff>157163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E10CA6D-14BB-41C1-8502-CFB9FA6BC8AA}"/>
            </a:ext>
            <a:ext uri="{147F2762-F138-4A5C-976F-8EAC2B608ADB}">
              <a16:predDERef xmlns:a16="http://schemas.microsoft.com/office/drawing/2014/main" pred="{0F4710E5-657B-48CA-97B5-31D8AAB7DD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77</xdr:row>
      <xdr:rowOff>0</xdr:rowOff>
    </xdr:from>
    <xdr:to>
      <xdr:col>11</xdr:col>
      <xdr:colOff>142875</xdr:colOff>
      <xdr:row>91</xdr:row>
      <xdr:rowOff>133350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D23E7CC-36CC-4DEE-980D-29BC62EF6B2A}"/>
            </a:ext>
          </a:extLst>
        </xdr:cNvPr>
        <xdr:cNvSpPr txBox="1"/>
      </xdr:nvSpPr>
      <xdr:spPr>
        <a:xfrm>
          <a:off x="5467350" y="15325725"/>
          <a:ext cx="2581275" cy="2800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For the combined years 2018-2024, the age-adjusted cerebrovascular</a:t>
          </a:r>
          <a:r>
            <a:rPr lang="en-US" sz="1100" baseline="0"/>
            <a:t> hospitalization rate for Latinx residents of Boston (7.5) was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similar</a:t>
          </a:r>
          <a:r>
            <a:rPr lang="en-US" sz="1100" baseline="0"/>
            <a:t> in comparison to the rate for the rest of Boston (7.5).  </a:t>
          </a:r>
        </a:p>
        <a:p>
          <a:endParaRPr lang="en-US" sz="1100"/>
        </a:p>
        <a:p>
          <a:r>
            <a:rPr lang="en-US" sz="1100"/>
            <a:t>Rates</a:t>
          </a:r>
          <a:r>
            <a:rPr lang="en-US" sz="1100" baseline="0"/>
            <a:t> were also similar for female Latinx residents in comparison to the rest of Boston female residents, and for male Latinx residents in comparison to the rest of Boston male residents.</a:t>
          </a:r>
          <a:endParaRPr lang="en-US" sz="1100"/>
        </a:p>
      </xdr:txBody>
    </xdr:sp>
    <xdr:clientData/>
  </xdr:twoCellAnchor>
  <xdr:twoCellAnchor>
    <xdr:from>
      <xdr:col>0</xdr:col>
      <xdr:colOff>152400</xdr:colOff>
      <xdr:row>94</xdr:row>
      <xdr:rowOff>19050</xdr:rowOff>
    </xdr:from>
    <xdr:to>
      <xdr:col>6</xdr:col>
      <xdr:colOff>381000</xdr:colOff>
      <xdr:row>98</xdr:row>
      <xdr:rowOff>95250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6FFEE13-B410-494F-8029-40FB7E1E0211}"/>
            </a:ext>
          </a:extLst>
        </xdr:cNvPr>
        <xdr:cNvSpPr txBox="1"/>
      </xdr:nvSpPr>
      <xdr:spPr>
        <a:xfrm>
          <a:off x="152400" y="18583275"/>
          <a:ext cx="5086350" cy="838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†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Age‐adjusted rates per 10,000 residents</a:t>
          </a:r>
          <a:endParaRPr lang="en-US">
            <a:effectLst/>
          </a:endParaRPr>
        </a:p>
        <a:p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Statistically significant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difference when compared to reference group</a:t>
          </a:r>
          <a:endParaRPr lang="en-US" sz="1100"/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 SOURCE: Acute Hospital Case Mix Database, Massachusetts Center for Health Information and Analysis</a:t>
          </a:r>
          <a:endParaRPr lang="en-US">
            <a:effectLst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23</xdr:row>
      <xdr:rowOff>171449</xdr:rowOff>
    </xdr:from>
    <xdr:to>
      <xdr:col>6</xdr:col>
      <xdr:colOff>228600</xdr:colOff>
      <xdr:row>28</xdr:row>
      <xdr:rowOff>9524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5D471CE-D305-4021-9CE2-C8D24DD6760E}"/>
            </a:ext>
          </a:extLst>
        </xdr:cNvPr>
        <xdr:cNvSpPr txBox="1"/>
      </xdr:nvSpPr>
      <xdr:spPr>
        <a:xfrm>
          <a:off x="104775" y="4571999"/>
          <a:ext cx="4495800" cy="790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†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Age‐adjusted rates per 10,000 residents</a:t>
          </a:r>
          <a:endParaRPr lang="en-US">
            <a:effectLst/>
          </a:endParaRPr>
        </a:p>
        <a:p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Statistically significant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difference when compared to reference group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 SOURCE: Acute Hospital Case Mix Database, Massachusetts Center for Health Information and Analysis</a:t>
          </a:r>
          <a:endParaRPr lang="en-US">
            <a:effectLst/>
          </a:endParaRPr>
        </a:p>
      </xdr:txBody>
    </xdr:sp>
    <xdr:clientData/>
  </xdr:twoCellAnchor>
  <xdr:twoCellAnchor>
    <xdr:from>
      <xdr:col>7</xdr:col>
      <xdr:colOff>0</xdr:colOff>
      <xdr:row>12</xdr:row>
      <xdr:rowOff>85725</xdr:rowOff>
    </xdr:from>
    <xdr:to>
      <xdr:col>9</xdr:col>
      <xdr:colOff>600075</xdr:colOff>
      <xdr:row>19</xdr:row>
      <xdr:rowOff>57150</xdr:rowOff>
    </xdr:to>
    <xdr:sp macro="" textlink="">
      <xdr:nvSpPr>
        <xdr:cNvPr id="3" name="TextBox 3">
          <a:extLst>
            <a:ext uri="{FF2B5EF4-FFF2-40B4-BE49-F238E27FC236}">
              <a16:creationId xmlns:a16="http://schemas.microsoft.com/office/drawing/2014/main" id="{021660D4-8862-4CC9-B426-6EDAED272654}"/>
            </a:ext>
          </a:extLst>
        </xdr:cNvPr>
        <xdr:cNvSpPr txBox="1"/>
      </xdr:nvSpPr>
      <xdr:spPr>
        <a:xfrm>
          <a:off x="4981575" y="2390775"/>
          <a:ext cx="1819275" cy="1304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For</a:t>
          </a:r>
          <a:r>
            <a:rPr lang="en-US" sz="1100" baseline="0"/>
            <a:t> the years 2018-2024, the age-adjusted cerebrovascular hospitalization rate for Asian residents (4.8) was similar in comparison to the rate for white residents (5.5).</a:t>
          </a:r>
          <a:endParaRPr lang="en-US" sz="1100"/>
        </a:p>
      </xdr:txBody>
    </xdr:sp>
    <xdr:clientData/>
  </xdr:twoCellAnchor>
  <xdr:twoCellAnchor>
    <xdr:from>
      <xdr:col>0</xdr:col>
      <xdr:colOff>228600</xdr:colOff>
      <xdr:row>48</xdr:row>
      <xdr:rowOff>171450</xdr:rowOff>
    </xdr:from>
    <xdr:to>
      <xdr:col>6</xdr:col>
      <xdr:colOff>352425</xdr:colOff>
      <xdr:row>53</xdr:row>
      <xdr:rowOff>38100</xdr:rowOff>
    </xdr:to>
    <xdr:sp macro="" textlink="">
      <xdr:nvSpPr>
        <xdr:cNvPr id="4" name="TextBox 5">
          <a:extLst>
            <a:ext uri="{FF2B5EF4-FFF2-40B4-BE49-F238E27FC236}">
              <a16:creationId xmlns:a16="http://schemas.microsoft.com/office/drawing/2014/main" id="{94AD450A-A759-468B-8D52-F6885E4E2809}"/>
            </a:ext>
          </a:extLst>
        </xdr:cNvPr>
        <xdr:cNvSpPr txBox="1"/>
      </xdr:nvSpPr>
      <xdr:spPr>
        <a:xfrm>
          <a:off x="228600" y="9353550"/>
          <a:ext cx="4495800" cy="819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†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Age‐adjusted rates per 10,000 residents</a:t>
          </a:r>
          <a:endParaRPr lang="en-US">
            <a:effectLst/>
          </a:endParaRPr>
        </a:p>
        <a:p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Statistically significant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difference when compared to reference group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 SOURCE: Acute Hospital Case Mix Database, Massachusetts Center for Health Information and Analysis</a:t>
          </a:r>
          <a:endParaRPr lang="en-US">
            <a:effectLst/>
          </a:endParaRPr>
        </a:p>
      </xdr:txBody>
    </xdr:sp>
    <xdr:clientData/>
  </xdr:twoCellAnchor>
  <xdr:twoCellAnchor>
    <xdr:from>
      <xdr:col>6</xdr:col>
      <xdr:colOff>600075</xdr:colOff>
      <xdr:row>35</xdr:row>
      <xdr:rowOff>28575</xdr:rowOff>
    </xdr:from>
    <xdr:to>
      <xdr:col>9</xdr:col>
      <xdr:colOff>590550</xdr:colOff>
      <xdr:row>42</xdr:row>
      <xdr:rowOff>0</xdr:rowOff>
    </xdr:to>
    <xdr:sp macro="" textlink="">
      <xdr:nvSpPr>
        <xdr:cNvPr id="5" name="TextBox 6">
          <a:extLst>
            <a:ext uri="{FF2B5EF4-FFF2-40B4-BE49-F238E27FC236}">
              <a16:creationId xmlns:a16="http://schemas.microsoft.com/office/drawing/2014/main" id="{46254EAD-25A6-4E3A-9B99-402A4A80B016}"/>
            </a:ext>
          </a:extLst>
        </xdr:cNvPr>
        <xdr:cNvSpPr txBox="1"/>
      </xdr:nvSpPr>
      <xdr:spPr>
        <a:xfrm>
          <a:off x="4972050" y="6734175"/>
          <a:ext cx="1819275" cy="1304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For</a:t>
          </a:r>
          <a:r>
            <a:rPr lang="en-US" sz="1100" baseline="0"/>
            <a:t> the years 2018-2024, the age-adjusted cerebrovascular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hospitalization rate for Black residents (13.6) was higher in comparison to the rate for white residents (5.5).</a:t>
          </a:r>
          <a:endParaRPr lang="en-US" sz="1100"/>
        </a:p>
      </xdr:txBody>
    </xdr:sp>
    <xdr:clientData/>
  </xdr:twoCellAnchor>
  <xdr:twoCellAnchor>
    <xdr:from>
      <xdr:col>0</xdr:col>
      <xdr:colOff>180975</xdr:colOff>
      <xdr:row>72</xdr:row>
      <xdr:rowOff>104774</xdr:rowOff>
    </xdr:from>
    <xdr:to>
      <xdr:col>6</xdr:col>
      <xdr:colOff>304800</xdr:colOff>
      <xdr:row>76</xdr:row>
      <xdr:rowOff>171449</xdr:rowOff>
    </xdr:to>
    <xdr:sp macro="" textlink="">
      <xdr:nvSpPr>
        <xdr:cNvPr id="6" name="TextBox 8">
          <a:extLst>
            <a:ext uri="{FF2B5EF4-FFF2-40B4-BE49-F238E27FC236}">
              <a16:creationId xmlns:a16="http://schemas.microsoft.com/office/drawing/2014/main" id="{3146EEF6-E33F-4479-950C-85CD33D10EAC}"/>
            </a:ext>
          </a:extLst>
        </xdr:cNvPr>
        <xdr:cNvSpPr txBox="1"/>
      </xdr:nvSpPr>
      <xdr:spPr>
        <a:xfrm>
          <a:off x="180975" y="13877924"/>
          <a:ext cx="4495800" cy="8286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†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Age‐adjusted rates per 10,000 residents</a:t>
          </a:r>
          <a:endParaRPr lang="en-US">
            <a:effectLst/>
          </a:endParaRPr>
        </a:p>
        <a:p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Statistically significant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difference when compared to reference group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 SOURCE: Acute Hospital Case Mix Database, Massachusetts Center for Health Information and Analysis</a:t>
          </a:r>
          <a:endParaRPr lang="en-US">
            <a:effectLst/>
          </a:endParaRPr>
        </a:p>
      </xdr:txBody>
    </xdr:sp>
    <xdr:clientData/>
  </xdr:twoCellAnchor>
  <xdr:twoCellAnchor>
    <xdr:from>
      <xdr:col>7</xdr:col>
      <xdr:colOff>76200</xdr:colOff>
      <xdr:row>58</xdr:row>
      <xdr:rowOff>85725</xdr:rowOff>
    </xdr:from>
    <xdr:to>
      <xdr:col>10</xdr:col>
      <xdr:colOff>66675</xdr:colOff>
      <xdr:row>65</xdr:row>
      <xdr:rowOff>57150</xdr:rowOff>
    </xdr:to>
    <xdr:sp macro="" textlink="">
      <xdr:nvSpPr>
        <xdr:cNvPr id="7" name="TextBox 9">
          <a:extLst>
            <a:ext uri="{FF2B5EF4-FFF2-40B4-BE49-F238E27FC236}">
              <a16:creationId xmlns:a16="http://schemas.microsoft.com/office/drawing/2014/main" id="{28E8CADC-F558-48B2-BF3D-2C84110E9DB5}"/>
            </a:ext>
          </a:extLst>
        </xdr:cNvPr>
        <xdr:cNvSpPr txBox="1"/>
      </xdr:nvSpPr>
      <xdr:spPr>
        <a:xfrm>
          <a:off x="5057775" y="11191875"/>
          <a:ext cx="1819275" cy="1304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years 2018-2024, the age-adjusted cerebrovascular hospitalization rate for Latinx residents (7.5) was higher in comparison to the rate for white residents (5.5).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28575</xdr:colOff>
      <xdr:row>8</xdr:row>
      <xdr:rowOff>142875</xdr:rowOff>
    </xdr:from>
    <xdr:to>
      <xdr:col>6</xdr:col>
      <xdr:colOff>228600</xdr:colOff>
      <xdr:row>23</xdr:row>
      <xdr:rowOff>28575</xdr:rowOff>
    </xdr:to>
    <xdr:graphicFrame macro="">
      <xdr:nvGraphicFramePr>
        <xdr:cNvPr id="8" name="Chart 10">
          <a:extLst>
            <a:ext uri="{FF2B5EF4-FFF2-40B4-BE49-F238E27FC236}">
              <a16:creationId xmlns:a16="http://schemas.microsoft.com/office/drawing/2014/main" id="{0C53BA53-6BBF-4487-9446-39D853B22611}"/>
            </a:ext>
            <a:ext uri="{147F2762-F138-4A5C-976F-8EAC2B608ADB}">
              <a16:predDERef xmlns:a16="http://schemas.microsoft.com/office/drawing/2014/main" pred="{3ECFBFE8-DE06-48AD-917E-6878BA1D9A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85725</xdr:colOff>
      <xdr:row>33</xdr:row>
      <xdr:rowOff>104775</xdr:rowOff>
    </xdr:from>
    <xdr:to>
      <xdr:col>6</xdr:col>
      <xdr:colOff>285750</xdr:colOff>
      <xdr:row>47</xdr:row>
      <xdr:rowOff>180975</xdr:rowOff>
    </xdr:to>
    <xdr:graphicFrame macro="">
      <xdr:nvGraphicFramePr>
        <xdr:cNvPr id="9" name="Chart 11">
          <a:extLst>
            <a:ext uri="{FF2B5EF4-FFF2-40B4-BE49-F238E27FC236}">
              <a16:creationId xmlns:a16="http://schemas.microsoft.com/office/drawing/2014/main" id="{5126D04B-0F0E-4FE0-BBF5-5F5A8A36F5E7}"/>
            </a:ext>
            <a:ext uri="{147F2762-F138-4A5C-976F-8EAC2B608ADB}">
              <a16:predDERef xmlns:a16="http://schemas.microsoft.com/office/drawing/2014/main" pred="{838A246B-66DD-4474-80BD-070597203B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152400</xdr:colOff>
      <xdr:row>57</xdr:row>
      <xdr:rowOff>123825</xdr:rowOff>
    </xdr:from>
    <xdr:to>
      <xdr:col>6</xdr:col>
      <xdr:colOff>352425</xdr:colOff>
      <xdr:row>72</xdr:row>
      <xdr:rowOff>9525</xdr:rowOff>
    </xdr:to>
    <xdr:graphicFrame macro="">
      <xdr:nvGraphicFramePr>
        <xdr:cNvPr id="10" name="Chart 12">
          <a:extLst>
            <a:ext uri="{FF2B5EF4-FFF2-40B4-BE49-F238E27FC236}">
              <a16:creationId xmlns:a16="http://schemas.microsoft.com/office/drawing/2014/main" id="{25869B3B-9544-46FE-9523-52A99FCFDC68}"/>
            </a:ext>
            <a:ext uri="{147F2762-F138-4A5C-976F-8EAC2B608ADB}">
              <a16:predDERef xmlns:a16="http://schemas.microsoft.com/office/drawing/2014/main" pred="{CE423C43-0EBE-41A6-A143-3FF4CF1155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15</xdr:row>
      <xdr:rowOff>76200</xdr:rowOff>
    </xdr:from>
    <xdr:to>
      <xdr:col>7</xdr:col>
      <xdr:colOff>438150</xdr:colOff>
      <xdr:row>29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C8F000-7931-438F-B771-20A7146F74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133350</xdr:colOff>
      <xdr:row>30</xdr:row>
      <xdr:rowOff>114299</xdr:rowOff>
    </xdr:from>
    <xdr:to>
      <xdr:col>8</xdr:col>
      <xdr:colOff>342900</xdr:colOff>
      <xdr:row>34</xdr:row>
      <xdr:rowOff>142874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789A96-CEC3-4477-AF50-59D5DDC89236}"/>
            </a:ext>
          </a:extLst>
        </xdr:cNvPr>
        <xdr:cNvSpPr txBox="1"/>
      </xdr:nvSpPr>
      <xdr:spPr>
        <a:xfrm>
          <a:off x="133350" y="5848349"/>
          <a:ext cx="5086350" cy="790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†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Age‐adjusted rates per 10,000 residents</a:t>
          </a:r>
          <a:endParaRPr lang="en-US">
            <a:effectLst/>
          </a:endParaRPr>
        </a:p>
        <a:p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Statistically significant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difference when compared to reference group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 SOURCE: Acute Hospital Case Mix Database, Massachusetts Center for Health Information and Analysis</a:t>
          </a:r>
          <a:endParaRPr lang="en-US">
            <a:effectLst/>
          </a:endParaRPr>
        </a:p>
      </xdr:txBody>
    </xdr:sp>
    <xdr:clientData/>
  </xdr:twoCellAnchor>
  <xdr:twoCellAnchor>
    <xdr:from>
      <xdr:col>7</xdr:col>
      <xdr:colOff>600076</xdr:colOff>
      <xdr:row>19</xdr:row>
      <xdr:rowOff>0</xdr:rowOff>
    </xdr:from>
    <xdr:to>
      <xdr:col>11</xdr:col>
      <xdr:colOff>200026</xdr:colOff>
      <xdr:row>25</xdr:row>
      <xdr:rowOff>180975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CFDA980-CCB8-4CEF-AD1C-48A253BD1604}"/>
            </a:ext>
          </a:extLst>
        </xdr:cNvPr>
        <xdr:cNvSpPr txBox="1"/>
      </xdr:nvSpPr>
      <xdr:spPr>
        <a:xfrm>
          <a:off x="4867276" y="3638550"/>
          <a:ext cx="2038350" cy="1323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For</a:t>
          </a:r>
          <a:r>
            <a:rPr lang="en-US" sz="1100" baseline="0"/>
            <a:t> the years 2018-2024, the age-adjusted cerebrovascular hospitalization rates for Black residents (13.6) and Latinx residents (7.5) were higher in comparison to the rate for white residents (5.5).  </a:t>
          </a:r>
          <a:endParaRPr 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10</xdr:row>
      <xdr:rowOff>28575</xdr:rowOff>
    </xdr:from>
    <xdr:to>
      <xdr:col>10</xdr:col>
      <xdr:colOff>9525</xdr:colOff>
      <xdr:row>27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642044-D710-4690-AC51-2D73175DBF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171450</xdr:colOff>
      <xdr:row>11</xdr:row>
      <xdr:rowOff>133351</xdr:rowOff>
    </xdr:from>
    <xdr:to>
      <xdr:col>13</xdr:col>
      <xdr:colOff>447675</xdr:colOff>
      <xdr:row>23</xdr:row>
      <xdr:rowOff>171451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30FC85F-E8DD-47D8-BE99-9F6679CF5D93}"/>
            </a:ext>
          </a:extLst>
        </xdr:cNvPr>
        <xdr:cNvSpPr txBox="1"/>
      </xdr:nvSpPr>
      <xdr:spPr>
        <a:xfrm>
          <a:off x="7124700" y="2247901"/>
          <a:ext cx="2105025" cy="2324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For</a:t>
          </a:r>
          <a:r>
            <a:rPr lang="en-US" sz="1100" baseline="0"/>
            <a:t> the years 2018-2024, the age-adjusted cerebrovascular hospitalization rates for Black female (12.0) and Latinx female (6.4) residents were higher in comparison to the rate for white female residents (4.5).  </a:t>
          </a:r>
        </a:p>
        <a:p>
          <a:r>
            <a:rPr lang="en-US" sz="1100" baseline="0"/>
            <a:t>The hospitalization rates for Black male (15.9) and Latinx male (9.0) residents were higher in comparison to the rate for white male residents (6.5).</a:t>
          </a:r>
          <a:endParaRPr lang="en-US" sz="1100"/>
        </a:p>
      </xdr:txBody>
    </xdr:sp>
    <xdr:clientData/>
  </xdr:twoCellAnchor>
  <xdr:twoCellAnchor>
    <xdr:from>
      <xdr:col>1</xdr:col>
      <xdr:colOff>219075</xdr:colOff>
      <xdr:row>28</xdr:row>
      <xdr:rowOff>114300</xdr:rowOff>
    </xdr:from>
    <xdr:to>
      <xdr:col>8</xdr:col>
      <xdr:colOff>428625</xdr:colOff>
      <xdr:row>32</xdr:row>
      <xdr:rowOff>142875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9051EF9-50D7-4237-A1B5-73112917A894}"/>
            </a:ext>
          </a:extLst>
        </xdr:cNvPr>
        <xdr:cNvSpPr txBox="1"/>
      </xdr:nvSpPr>
      <xdr:spPr>
        <a:xfrm>
          <a:off x="1076325" y="5467350"/>
          <a:ext cx="5086350" cy="790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eaLnBrk="1" fontAlgn="auto" latinLnBrk="0" hangingPunct="1"/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†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Age‐adjusted rates per 10,000 residents</a:t>
          </a:r>
          <a:endParaRPr lang="en-US">
            <a:effectLst/>
          </a:endParaRPr>
        </a:p>
        <a:p>
          <a:r>
            <a:rPr lang="en-US" sz="1100" baseline="30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Statistically significant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difference when compared to reference group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 SOURCE: Acute Hospital Case Mix Database, Massachusetts Center for Health Information and Analysis</a:t>
          </a:r>
          <a:endParaRPr lang="en-US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5E4D1-B227-4C19-BB4A-1E69C98CD4C5}">
  <sheetPr>
    <tabColor theme="3" tint="0.89999084444715716"/>
  </sheetPr>
  <dimension ref="B3:K13"/>
  <sheetViews>
    <sheetView zoomScale="101" workbookViewId="0">
      <selection activeCell="D26" sqref="D26"/>
    </sheetView>
  </sheetViews>
  <sheetFormatPr baseColWidth="10" defaultColWidth="8.83203125" defaultRowHeight="15"/>
  <cols>
    <col min="2" max="2" width="23.33203125" customWidth="1"/>
    <col min="3" max="3" width="25.33203125" customWidth="1"/>
    <col min="4" max="4" width="20.5" customWidth="1"/>
    <col min="5" max="5" width="20.83203125" customWidth="1"/>
  </cols>
  <sheetData>
    <row r="3" spans="2:11">
      <c r="B3" s="6"/>
      <c r="C3" s="38" t="s">
        <v>22</v>
      </c>
      <c r="D3" s="39"/>
      <c r="E3" s="40"/>
      <c r="F3" s="38" t="s">
        <v>18</v>
      </c>
      <c r="G3" s="39"/>
      <c r="H3" s="40"/>
      <c r="I3" s="38" t="s">
        <v>20</v>
      </c>
      <c r="J3" s="39"/>
      <c r="K3" s="39"/>
    </row>
    <row r="4" spans="2:11" ht="32">
      <c r="B4" s="6"/>
      <c r="C4" s="7" t="s">
        <v>23</v>
      </c>
      <c r="D4" s="7" t="s">
        <v>24</v>
      </c>
      <c r="E4" s="7" t="s">
        <v>25</v>
      </c>
      <c r="F4" s="8" t="s">
        <v>23</v>
      </c>
      <c r="G4" s="8" t="s">
        <v>24</v>
      </c>
      <c r="H4" s="8" t="s">
        <v>25</v>
      </c>
      <c r="I4" s="8" t="s">
        <v>23</v>
      </c>
      <c r="J4" s="8" t="s">
        <v>24</v>
      </c>
      <c r="K4" s="8" t="s">
        <v>25</v>
      </c>
    </row>
    <row r="5" spans="2:11" ht="16">
      <c r="B5" s="9" t="s">
        <v>26</v>
      </c>
      <c r="C5" s="10">
        <v>110.5</v>
      </c>
      <c r="D5" s="11">
        <v>130.6</v>
      </c>
      <c r="E5" s="11">
        <v>128.80000000000001</v>
      </c>
      <c r="F5" s="10">
        <v>87.9</v>
      </c>
      <c r="G5" s="11">
        <v>113.5</v>
      </c>
      <c r="H5" s="11">
        <v>111.1</v>
      </c>
      <c r="I5" s="11">
        <v>141.19999999999999</v>
      </c>
      <c r="J5" s="11">
        <v>156.1</v>
      </c>
      <c r="K5" s="11">
        <v>154.9</v>
      </c>
    </row>
    <row r="7" spans="2:11">
      <c r="B7" s="6"/>
      <c r="C7" s="38" t="s">
        <v>22</v>
      </c>
      <c r="D7" s="39"/>
      <c r="E7" s="40"/>
      <c r="F7" s="38" t="s">
        <v>18</v>
      </c>
      <c r="G7" s="39"/>
      <c r="H7" s="40"/>
      <c r="I7" s="38" t="s">
        <v>20</v>
      </c>
      <c r="J7" s="39"/>
      <c r="K7" s="39"/>
    </row>
    <row r="8" spans="2:11" ht="32">
      <c r="B8" s="6"/>
      <c r="C8" s="7" t="s">
        <v>28</v>
      </c>
      <c r="D8" s="7" t="s">
        <v>24</v>
      </c>
      <c r="E8" s="7" t="s">
        <v>25</v>
      </c>
      <c r="F8" s="8" t="s">
        <v>28</v>
      </c>
      <c r="G8" s="8" t="s">
        <v>24</v>
      </c>
      <c r="H8" s="8" t="s">
        <v>25</v>
      </c>
      <c r="I8" s="8" t="s">
        <v>28</v>
      </c>
      <c r="J8" s="8" t="s">
        <v>24</v>
      </c>
      <c r="K8" s="8" t="s">
        <v>25</v>
      </c>
    </row>
    <row r="9" spans="2:11" ht="16">
      <c r="B9" s="9" t="s">
        <v>26</v>
      </c>
      <c r="C9" s="15">
        <v>160.4</v>
      </c>
      <c r="D9" s="16">
        <v>118.3</v>
      </c>
      <c r="E9" s="16">
        <v>128.80000000000001</v>
      </c>
      <c r="F9" s="15">
        <v>136.1</v>
      </c>
      <c r="G9" s="16">
        <v>102.1</v>
      </c>
      <c r="H9" s="16">
        <v>111.1</v>
      </c>
      <c r="I9" s="17">
        <v>200.5</v>
      </c>
      <c r="J9" s="16">
        <v>141.5</v>
      </c>
      <c r="K9" s="16">
        <v>154.9</v>
      </c>
    </row>
    <row r="11" spans="2:11">
      <c r="B11" s="6"/>
      <c r="C11" s="38" t="s">
        <v>22</v>
      </c>
      <c r="D11" s="39"/>
      <c r="E11" s="40"/>
      <c r="F11" s="38" t="s">
        <v>18</v>
      </c>
      <c r="G11" s="39"/>
      <c r="H11" s="40"/>
      <c r="I11" s="38" t="s">
        <v>20</v>
      </c>
      <c r="J11" s="39"/>
      <c r="K11" s="39"/>
    </row>
    <row r="12" spans="2:11" ht="32">
      <c r="B12" s="6"/>
      <c r="C12" s="7" t="s">
        <v>19</v>
      </c>
      <c r="D12" s="7" t="s">
        <v>24</v>
      </c>
      <c r="E12" s="7" t="s">
        <v>25</v>
      </c>
      <c r="F12" s="8" t="s">
        <v>19</v>
      </c>
      <c r="G12" s="8" t="s">
        <v>24</v>
      </c>
      <c r="H12" s="8" t="s">
        <v>25</v>
      </c>
      <c r="I12" s="8" t="s">
        <v>19</v>
      </c>
      <c r="J12" s="8" t="s">
        <v>24</v>
      </c>
      <c r="K12" s="8" t="s">
        <v>25</v>
      </c>
    </row>
    <row r="13" spans="2:11" ht="16">
      <c r="B13" s="9" t="s">
        <v>26</v>
      </c>
      <c r="C13" s="15">
        <v>86.6</v>
      </c>
      <c r="D13" s="18">
        <v>135</v>
      </c>
      <c r="E13" s="16">
        <v>128.80000000000001</v>
      </c>
      <c r="F13" s="15">
        <v>68.599999999999994</v>
      </c>
      <c r="G13" s="16">
        <v>118.5</v>
      </c>
      <c r="H13" s="16">
        <v>111.1</v>
      </c>
      <c r="I13" s="17">
        <v>117.2</v>
      </c>
      <c r="J13" s="16">
        <v>159.30000000000001</v>
      </c>
      <c r="K13" s="16">
        <v>154.9</v>
      </c>
    </row>
  </sheetData>
  <mergeCells count="9">
    <mergeCell ref="C7:E7"/>
    <mergeCell ref="F7:H7"/>
    <mergeCell ref="I7:K7"/>
    <mergeCell ref="C11:E11"/>
    <mergeCell ref="F11:H11"/>
    <mergeCell ref="I11:K11"/>
    <mergeCell ref="C3:E3"/>
    <mergeCell ref="F3:H3"/>
    <mergeCell ref="I3:K3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B7963-28F3-437B-BE16-4F6CEA589ED0}">
  <sheetPr>
    <tabColor theme="3" tint="0.89999084444715716"/>
  </sheetPr>
  <dimension ref="A1:J65"/>
  <sheetViews>
    <sheetView topLeftCell="A43" zoomScale="125" workbookViewId="0">
      <selection activeCell="A61" sqref="A61:J63"/>
    </sheetView>
  </sheetViews>
  <sheetFormatPr baseColWidth="10" defaultColWidth="8.83203125" defaultRowHeight="15"/>
  <cols>
    <col min="1" max="1" width="20.33203125" customWidth="1"/>
    <col min="2" max="2" width="15.33203125" customWidth="1"/>
    <col min="3" max="3" width="16.33203125" customWidth="1"/>
    <col min="4" max="4" width="15" customWidth="1"/>
    <col min="5" max="5" width="17" customWidth="1"/>
    <col min="6" max="6" width="24.5" customWidth="1"/>
  </cols>
  <sheetData>
    <row r="1" spans="1:10">
      <c r="A1" s="5" t="s">
        <v>21</v>
      </c>
    </row>
    <row r="2" spans="1:10">
      <c r="A2" s="6"/>
      <c r="B2" s="6"/>
      <c r="C2" s="6"/>
      <c r="D2" s="6"/>
      <c r="E2" s="6"/>
      <c r="F2" s="6"/>
      <c r="G2" s="6"/>
      <c r="H2" s="6"/>
      <c r="I2" s="6"/>
      <c r="J2" s="6"/>
    </row>
    <row r="3" spans="1:10">
      <c r="A3" s="6"/>
      <c r="B3" s="38" t="s">
        <v>22</v>
      </c>
      <c r="C3" s="39"/>
      <c r="D3" s="40"/>
      <c r="E3" s="38" t="s">
        <v>18</v>
      </c>
      <c r="F3" s="39"/>
      <c r="G3" s="40"/>
      <c r="H3" s="38" t="s">
        <v>20</v>
      </c>
      <c r="I3" s="39"/>
      <c r="J3" s="39"/>
    </row>
    <row r="4" spans="1:10" ht="32">
      <c r="A4" s="6"/>
      <c r="B4" s="7" t="s">
        <v>23</v>
      </c>
      <c r="C4" s="7" t="s">
        <v>24</v>
      </c>
      <c r="D4" s="7" t="s">
        <v>25</v>
      </c>
      <c r="E4" s="8" t="s">
        <v>23</v>
      </c>
      <c r="F4" s="8" t="s">
        <v>24</v>
      </c>
      <c r="G4" s="8" t="s">
        <v>25</v>
      </c>
      <c r="H4" s="8" t="s">
        <v>23</v>
      </c>
      <c r="I4" s="8" t="s">
        <v>24</v>
      </c>
      <c r="J4" s="8" t="s">
        <v>25</v>
      </c>
    </row>
    <row r="5" spans="1:10" ht="16">
      <c r="A5" s="9" t="s">
        <v>26</v>
      </c>
      <c r="B5" s="10">
        <v>110.5</v>
      </c>
      <c r="C5" s="11">
        <v>130.6</v>
      </c>
      <c r="D5" s="11">
        <v>128.80000000000001</v>
      </c>
      <c r="E5" s="10">
        <v>87.9</v>
      </c>
      <c r="F5" s="11">
        <v>113.5</v>
      </c>
      <c r="G5" s="11">
        <v>111.1</v>
      </c>
      <c r="H5" s="11">
        <v>141.19999999999999</v>
      </c>
      <c r="I5" s="11">
        <v>156.1</v>
      </c>
      <c r="J5" s="11">
        <v>154.9</v>
      </c>
    </row>
    <row r="6" spans="1:10">
      <c r="A6" s="6"/>
      <c r="B6" s="12"/>
      <c r="C6" s="12"/>
      <c r="D6" s="12"/>
      <c r="E6" s="12"/>
      <c r="F6" s="12"/>
      <c r="G6" s="12"/>
      <c r="H6" s="12"/>
      <c r="I6" s="12"/>
      <c r="J6" s="12"/>
    </row>
    <row r="7" spans="1:10">
      <c r="A7" s="13"/>
      <c r="B7" s="6"/>
      <c r="C7" s="6"/>
      <c r="D7" s="6"/>
      <c r="E7" s="6"/>
      <c r="F7" s="6"/>
      <c r="G7" s="6"/>
      <c r="H7" s="6"/>
      <c r="I7" s="6"/>
      <c r="J7" s="6"/>
    </row>
    <row r="8" spans="1:10" ht="17">
      <c r="A8" s="14" t="s">
        <v>27</v>
      </c>
    </row>
    <row r="33" spans="1:10">
      <c r="A33" s="6"/>
      <c r="B33" s="38" t="s">
        <v>22</v>
      </c>
      <c r="C33" s="39"/>
      <c r="D33" s="40"/>
      <c r="E33" s="38" t="s">
        <v>18</v>
      </c>
      <c r="F33" s="39"/>
      <c r="G33" s="40"/>
      <c r="H33" s="38" t="s">
        <v>20</v>
      </c>
      <c r="I33" s="39"/>
      <c r="J33" s="39"/>
    </row>
    <row r="34" spans="1:10" ht="32">
      <c r="A34" s="6"/>
      <c r="B34" s="7" t="s">
        <v>28</v>
      </c>
      <c r="C34" s="7" t="s">
        <v>24</v>
      </c>
      <c r="D34" s="7" t="s">
        <v>25</v>
      </c>
      <c r="E34" s="8" t="s">
        <v>28</v>
      </c>
      <c r="F34" s="8" t="s">
        <v>24</v>
      </c>
      <c r="G34" s="8" t="s">
        <v>25</v>
      </c>
      <c r="H34" s="8" t="s">
        <v>28</v>
      </c>
      <c r="I34" s="8" t="s">
        <v>24</v>
      </c>
      <c r="J34" s="8" t="s">
        <v>25</v>
      </c>
    </row>
    <row r="35" spans="1:10" ht="16">
      <c r="A35" s="9" t="s">
        <v>26</v>
      </c>
      <c r="B35" s="15">
        <v>160.4</v>
      </c>
      <c r="C35" s="16">
        <v>118.3</v>
      </c>
      <c r="D35" s="16">
        <v>128.80000000000001</v>
      </c>
      <c r="E35" s="15">
        <v>136.1</v>
      </c>
      <c r="F35" s="16">
        <v>102.1</v>
      </c>
      <c r="G35" s="16">
        <v>111.1</v>
      </c>
      <c r="H35" s="17">
        <v>200.5</v>
      </c>
      <c r="I35" s="16">
        <v>141.5</v>
      </c>
      <c r="J35" s="16">
        <v>154.9</v>
      </c>
    </row>
    <row r="37" spans="1:10" ht="17">
      <c r="A37" s="14" t="s">
        <v>29</v>
      </c>
    </row>
    <row r="61" spans="1:10">
      <c r="A61" s="6"/>
      <c r="B61" s="38" t="s">
        <v>22</v>
      </c>
      <c r="C61" s="39"/>
      <c r="D61" s="40"/>
      <c r="E61" s="38" t="s">
        <v>18</v>
      </c>
      <c r="F61" s="39"/>
      <c r="G61" s="40"/>
      <c r="H61" s="38" t="s">
        <v>20</v>
      </c>
      <c r="I61" s="39"/>
      <c r="J61" s="39"/>
    </row>
    <row r="62" spans="1:10" ht="32">
      <c r="A62" s="6"/>
      <c r="B62" s="7" t="s">
        <v>19</v>
      </c>
      <c r="C62" s="7" t="s">
        <v>24</v>
      </c>
      <c r="D62" s="7" t="s">
        <v>25</v>
      </c>
      <c r="E62" s="8" t="s">
        <v>19</v>
      </c>
      <c r="F62" s="8" t="s">
        <v>24</v>
      </c>
      <c r="G62" s="8" t="s">
        <v>25</v>
      </c>
      <c r="H62" s="8" t="s">
        <v>19</v>
      </c>
      <c r="I62" s="8" t="s">
        <v>24</v>
      </c>
      <c r="J62" s="8" t="s">
        <v>25</v>
      </c>
    </row>
    <row r="63" spans="1:10" ht="15" customHeight="1">
      <c r="A63" s="9" t="s">
        <v>26</v>
      </c>
      <c r="B63" s="15">
        <v>86.6</v>
      </c>
      <c r="C63" s="18">
        <v>135</v>
      </c>
      <c r="D63" s="16">
        <v>128.80000000000001</v>
      </c>
      <c r="E63" s="15">
        <v>68.599999999999994</v>
      </c>
      <c r="F63" s="16">
        <v>118.5</v>
      </c>
      <c r="G63" s="16">
        <v>111.1</v>
      </c>
      <c r="H63" s="17">
        <v>117.2</v>
      </c>
      <c r="I63" s="16">
        <v>159.30000000000001</v>
      </c>
      <c r="J63" s="16">
        <v>154.9</v>
      </c>
    </row>
    <row r="65" spans="1:1" ht="17">
      <c r="A65" s="14" t="s">
        <v>30</v>
      </c>
    </row>
  </sheetData>
  <mergeCells count="9">
    <mergeCell ref="B61:D61"/>
    <mergeCell ref="E61:G61"/>
    <mergeCell ref="H61:J61"/>
    <mergeCell ref="B3:D3"/>
    <mergeCell ref="E3:G3"/>
    <mergeCell ref="H3:J3"/>
    <mergeCell ref="B33:D33"/>
    <mergeCell ref="E33:G33"/>
    <mergeCell ref="H33:J33"/>
  </mergeCells>
  <pageMargins left="0.7" right="0.7" top="0.75" bottom="0.75" header="0.3" footer="0.3"/>
  <pageSetup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23566-5360-4C82-B815-2E8596E4EAC6}">
  <sheetPr>
    <tabColor theme="3" tint="0.89999084444715716"/>
  </sheetPr>
  <dimension ref="B2:U18"/>
  <sheetViews>
    <sheetView workbookViewId="0">
      <selection activeCell="C12" sqref="C12"/>
    </sheetView>
  </sheetViews>
  <sheetFormatPr baseColWidth="10" defaultColWidth="8.83203125" defaultRowHeight="15"/>
  <cols>
    <col min="2" max="2" width="19.33203125" customWidth="1"/>
    <col min="3" max="3" width="16.6640625" customWidth="1"/>
    <col min="4" max="4" width="21.1640625" customWidth="1"/>
    <col min="5" max="5" width="16.5" customWidth="1"/>
  </cols>
  <sheetData>
    <row r="2" spans="2:21">
      <c r="B2" s="43" t="s">
        <v>31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</row>
    <row r="3" spans="2:21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</row>
    <row r="4" spans="2:21">
      <c r="B4" s="42" t="s">
        <v>32</v>
      </c>
      <c r="C4" s="42"/>
      <c r="D4" s="42"/>
      <c r="E4" s="42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</row>
    <row r="5" spans="2:21">
      <c r="B5" s="34" t="s">
        <v>33</v>
      </c>
      <c r="C5" s="34" t="s">
        <v>1</v>
      </c>
      <c r="D5" s="34" t="s">
        <v>2</v>
      </c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</row>
    <row r="6" spans="2:21">
      <c r="B6" s="37" t="s">
        <v>4</v>
      </c>
      <c r="C6" s="37">
        <v>17</v>
      </c>
      <c r="D6" s="37">
        <v>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</row>
    <row r="7" spans="2:21">
      <c r="B7" s="37" t="s">
        <v>6</v>
      </c>
      <c r="C7" s="37">
        <v>544</v>
      </c>
      <c r="D7" s="37">
        <v>110.8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</row>
    <row r="8" spans="2:21">
      <c r="B8" s="37" t="s">
        <v>15</v>
      </c>
      <c r="C8" s="37">
        <v>1680</v>
      </c>
      <c r="D8" s="37">
        <v>156.30000000000001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</row>
    <row r="9" spans="2:21">
      <c r="B9" s="37" t="s">
        <v>19</v>
      </c>
      <c r="C9" s="37">
        <v>548</v>
      </c>
      <c r="D9" s="37">
        <v>88.4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</row>
    <row r="10" spans="2:21">
      <c r="B10" s="37" t="s">
        <v>34</v>
      </c>
      <c r="C10" s="37">
        <v>2869</v>
      </c>
      <c r="D10" s="37">
        <v>131.19999999999999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</row>
    <row r="11" spans="2:21">
      <c r="B11" s="37" t="s">
        <v>25</v>
      </c>
      <c r="C11" s="37">
        <f>SUM(C6:C10)</f>
        <v>5658</v>
      </c>
      <c r="D11" s="37">
        <v>125.3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</row>
    <row r="12" spans="2:21"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</row>
    <row r="13" spans="2:21">
      <c r="B13" s="42" t="s">
        <v>8</v>
      </c>
      <c r="C13" s="42"/>
      <c r="D13" s="42"/>
      <c r="E13" s="42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</row>
    <row r="14" spans="2:21">
      <c r="B14" s="34" t="s">
        <v>9</v>
      </c>
      <c r="C14" s="34" t="s">
        <v>10</v>
      </c>
      <c r="D14" s="34" t="s">
        <v>11</v>
      </c>
      <c r="E14" s="34" t="s">
        <v>12</v>
      </c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</row>
    <row r="15" spans="2:21">
      <c r="B15" s="37" t="s">
        <v>35</v>
      </c>
      <c r="C15" s="1">
        <v>0.84424624948014004</v>
      </c>
      <c r="D15" s="2">
        <v>2.0000000000000001E-4</v>
      </c>
      <c r="E15" s="3">
        <v>-15.575375051986001</v>
      </c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</row>
    <row r="16" spans="2:21">
      <c r="B16" s="37" t="s">
        <v>36</v>
      </c>
      <c r="C16" s="1">
        <v>1.19136357945182</v>
      </c>
      <c r="D16" s="2" t="s">
        <v>16</v>
      </c>
      <c r="E16" s="3">
        <v>19.136357945181601</v>
      </c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</row>
    <row r="17" spans="2:21">
      <c r="B17" s="37" t="s">
        <v>37</v>
      </c>
      <c r="C17" s="1">
        <v>0.67344109847097</v>
      </c>
      <c r="D17" s="2" t="s">
        <v>16</v>
      </c>
      <c r="E17" s="3">
        <v>-32.655890152902998</v>
      </c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</row>
    <row r="18" spans="2:21" ht="30.75" customHeight="1">
      <c r="B18" s="41" t="s">
        <v>14</v>
      </c>
      <c r="C18" s="44"/>
      <c r="D18" s="44"/>
      <c r="E18" s="44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</row>
  </sheetData>
  <mergeCells count="4">
    <mergeCell ref="B2:U2"/>
    <mergeCell ref="B4:E4"/>
    <mergeCell ref="B13:E13"/>
    <mergeCell ref="B18:E18"/>
  </mergeCells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164AB-94AD-49A9-92FA-FDC68AD5DFA0}">
  <sheetPr>
    <tabColor theme="3" tint="0.89999084444715716"/>
  </sheetPr>
  <dimension ref="A1:J67"/>
  <sheetViews>
    <sheetView workbookViewId="0">
      <selection activeCell="D16" sqref="D16"/>
    </sheetView>
  </sheetViews>
  <sheetFormatPr baseColWidth="10" defaultColWidth="8.83203125" defaultRowHeight="15"/>
  <cols>
    <col min="1" max="1" width="14.6640625" customWidth="1"/>
    <col min="4" max="4" width="23.1640625" customWidth="1"/>
  </cols>
  <sheetData>
    <row r="1" spans="1:10">
      <c r="A1" s="5" t="s">
        <v>38</v>
      </c>
    </row>
    <row r="2" spans="1:10">
      <c r="A2" s="19" t="s">
        <v>39</v>
      </c>
    </row>
    <row r="3" spans="1:10">
      <c r="A3" s="19" t="s">
        <v>40</v>
      </c>
    </row>
    <row r="4" spans="1:10">
      <c r="A4" s="19" t="s">
        <v>41</v>
      </c>
      <c r="I4" t="s">
        <v>22</v>
      </c>
      <c r="J4">
        <v>125.3</v>
      </c>
    </row>
    <row r="5" spans="1:10">
      <c r="A5" s="19" t="s">
        <v>42</v>
      </c>
    </row>
    <row r="6" spans="1:10">
      <c r="A6" s="19" t="s">
        <v>43</v>
      </c>
    </row>
    <row r="7" spans="1:10">
      <c r="A7" s="19" t="s">
        <v>44</v>
      </c>
    </row>
    <row r="8" spans="1:10">
      <c r="A8" s="19" t="s">
        <v>45</v>
      </c>
    </row>
    <row r="9" spans="1:10">
      <c r="A9" s="19" t="s">
        <v>46</v>
      </c>
    </row>
    <row r="10" spans="1:10">
      <c r="A10" s="19" t="s">
        <v>47</v>
      </c>
    </row>
    <row r="11" spans="1:10">
      <c r="A11" s="19" t="s">
        <v>48</v>
      </c>
    </row>
    <row r="15" spans="1:10">
      <c r="B15" t="s">
        <v>23</v>
      </c>
      <c r="C15" t="s">
        <v>49</v>
      </c>
      <c r="D15" t="s">
        <v>22</v>
      </c>
    </row>
    <row r="16" spans="1:10">
      <c r="B16">
        <v>110.8</v>
      </c>
      <c r="C16">
        <v>131.19999999999999</v>
      </c>
      <c r="D16">
        <v>125.3</v>
      </c>
    </row>
    <row r="18" spans="1:1" ht="17">
      <c r="A18" s="4" t="s">
        <v>50</v>
      </c>
    </row>
    <row r="38" spans="1:9">
      <c r="I38" s="20"/>
    </row>
    <row r="40" spans="1:9">
      <c r="B40" t="s">
        <v>28</v>
      </c>
      <c r="C40" t="s">
        <v>49</v>
      </c>
      <c r="D40" t="s">
        <v>22</v>
      </c>
    </row>
    <row r="41" spans="1:9">
      <c r="B41">
        <v>156.30000000000001</v>
      </c>
      <c r="C41">
        <v>131.19999999999999</v>
      </c>
      <c r="D41">
        <v>125.3</v>
      </c>
    </row>
    <row r="43" spans="1:9" ht="17">
      <c r="A43" s="4" t="s">
        <v>51</v>
      </c>
    </row>
    <row r="65" spans="1:4">
      <c r="B65" t="s">
        <v>19</v>
      </c>
      <c r="C65" t="s">
        <v>49</v>
      </c>
      <c r="D65" t="s">
        <v>22</v>
      </c>
    </row>
    <row r="66" spans="1:4">
      <c r="B66">
        <v>88.4</v>
      </c>
      <c r="C66">
        <v>131.19999999999999</v>
      </c>
      <c r="D66">
        <v>125.3</v>
      </c>
    </row>
    <row r="67" spans="1:4" ht="17">
      <c r="A67" s="4" t="s">
        <v>52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5A40D-6392-A74E-80E5-8576CD4B55CA}">
  <sheetPr>
    <tabColor theme="3" tint="0.89999084444715716"/>
  </sheetPr>
  <dimension ref="B2:U18"/>
  <sheetViews>
    <sheetView workbookViewId="0">
      <selection activeCell="C12" sqref="C12"/>
    </sheetView>
  </sheetViews>
  <sheetFormatPr baseColWidth="10" defaultColWidth="8.83203125" defaultRowHeight="15"/>
  <cols>
    <col min="2" max="2" width="19.33203125" customWidth="1"/>
    <col min="3" max="3" width="16.6640625" customWidth="1"/>
    <col min="4" max="4" width="21.1640625" customWidth="1"/>
    <col min="5" max="5" width="16.5" customWidth="1"/>
  </cols>
  <sheetData>
    <row r="2" spans="2:21">
      <c r="B2" s="43" t="s">
        <v>31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</row>
    <row r="3" spans="2:21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</row>
    <row r="4" spans="2:21">
      <c r="B4" s="42" t="s">
        <v>32</v>
      </c>
      <c r="C4" s="42"/>
      <c r="D4" s="42"/>
      <c r="E4" s="42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</row>
    <row r="5" spans="2:21">
      <c r="B5" s="34" t="s">
        <v>33</v>
      </c>
      <c r="C5" s="34" t="s">
        <v>1</v>
      </c>
      <c r="D5" s="34" t="s">
        <v>2</v>
      </c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</row>
    <row r="6" spans="2:21">
      <c r="B6" s="37" t="s">
        <v>4</v>
      </c>
      <c r="C6" s="37">
        <v>17</v>
      </c>
      <c r="D6" s="37">
        <v>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</row>
    <row r="7" spans="2:21">
      <c r="B7" s="37" t="s">
        <v>6</v>
      </c>
      <c r="C7" s="37">
        <v>544</v>
      </c>
      <c r="D7" s="37">
        <v>110.8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</row>
    <row r="8" spans="2:21">
      <c r="B8" s="37" t="s">
        <v>15</v>
      </c>
      <c r="C8" s="37">
        <v>1680</v>
      </c>
      <c r="D8" s="37">
        <v>156.30000000000001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</row>
    <row r="9" spans="2:21">
      <c r="B9" s="37" t="s">
        <v>19</v>
      </c>
      <c r="C9" s="37">
        <v>548</v>
      </c>
      <c r="D9" s="37">
        <v>88.4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</row>
    <row r="10" spans="2:21">
      <c r="B10" s="37" t="s">
        <v>34</v>
      </c>
      <c r="C10" s="37">
        <v>2869</v>
      </c>
      <c r="D10" s="37">
        <v>131.19999999999999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</row>
    <row r="11" spans="2:21">
      <c r="B11" s="37" t="s">
        <v>25</v>
      </c>
      <c r="C11" s="37">
        <f>SUM(C6:C10)</f>
        <v>5658</v>
      </c>
      <c r="D11" s="37">
        <v>125.3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</row>
    <row r="12" spans="2:21"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</row>
    <row r="13" spans="2:21">
      <c r="B13" s="42" t="s">
        <v>8</v>
      </c>
      <c r="C13" s="42"/>
      <c r="D13" s="42"/>
      <c r="E13" s="42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</row>
    <row r="14" spans="2:21">
      <c r="B14" s="34" t="s">
        <v>9</v>
      </c>
      <c r="C14" s="34" t="s">
        <v>10</v>
      </c>
      <c r="D14" s="34" t="s">
        <v>11</v>
      </c>
      <c r="E14" s="34" t="s">
        <v>12</v>
      </c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</row>
    <row r="15" spans="2:21">
      <c r="B15" s="37" t="s">
        <v>35</v>
      </c>
      <c r="C15" s="1">
        <v>0.84424624948014004</v>
      </c>
      <c r="D15" s="2">
        <v>2.0000000000000001E-4</v>
      </c>
      <c r="E15" s="3">
        <v>-15.575375051986001</v>
      </c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</row>
    <row r="16" spans="2:21">
      <c r="B16" s="37" t="s">
        <v>36</v>
      </c>
      <c r="C16" s="1">
        <v>1.19136357945182</v>
      </c>
      <c r="D16" s="2" t="s">
        <v>16</v>
      </c>
      <c r="E16" s="3">
        <v>19.136357945181601</v>
      </c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</row>
    <row r="17" spans="2:21">
      <c r="B17" s="37" t="s">
        <v>37</v>
      </c>
      <c r="C17" s="1">
        <v>0.67344109847097</v>
      </c>
      <c r="D17" s="2" t="s">
        <v>16</v>
      </c>
      <c r="E17" s="3">
        <v>-32.655890152902998</v>
      </c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</row>
    <row r="18" spans="2:21" ht="30.75" customHeight="1">
      <c r="B18" s="41" t="s">
        <v>14</v>
      </c>
      <c r="C18" s="44"/>
      <c r="D18" s="44"/>
      <c r="E18" s="44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</row>
  </sheetData>
  <mergeCells count="4">
    <mergeCell ref="B2:U2"/>
    <mergeCell ref="B4:E4"/>
    <mergeCell ref="B13:E13"/>
    <mergeCell ref="B18:E18"/>
  </mergeCells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24A1F-2A95-445C-B905-8C51F062B9E8}">
  <sheetPr>
    <tabColor theme="3" tint="0.89999084444715716"/>
  </sheetPr>
  <dimension ref="A1:E16"/>
  <sheetViews>
    <sheetView workbookViewId="0">
      <selection activeCell="I65" sqref="I65"/>
    </sheetView>
  </sheetViews>
  <sheetFormatPr baseColWidth="10" defaultColWidth="8.83203125" defaultRowHeight="15"/>
  <sheetData>
    <row r="1" spans="1:5">
      <c r="A1" s="5" t="s">
        <v>53</v>
      </c>
    </row>
    <row r="2" spans="1:5">
      <c r="A2" s="19" t="s">
        <v>54</v>
      </c>
    </row>
    <row r="3" spans="1:5">
      <c r="A3" s="19" t="s">
        <v>55</v>
      </c>
    </row>
    <row r="4" spans="1:5">
      <c r="A4" s="19" t="s">
        <v>43</v>
      </c>
    </row>
    <row r="5" spans="1:5">
      <c r="A5" s="19" t="s">
        <v>42</v>
      </c>
    </row>
    <row r="6" spans="1:5">
      <c r="A6" s="19" t="s">
        <v>44</v>
      </c>
    </row>
    <row r="7" spans="1:5">
      <c r="A7" s="19" t="s">
        <v>45</v>
      </c>
    </row>
    <row r="8" spans="1:5">
      <c r="A8" s="19" t="s">
        <v>46</v>
      </c>
    </row>
    <row r="9" spans="1:5">
      <c r="A9" s="19" t="s">
        <v>47</v>
      </c>
    </row>
    <row r="10" spans="1:5">
      <c r="A10" s="19" t="s">
        <v>48</v>
      </c>
    </row>
    <row r="13" spans="1:5">
      <c r="A13" s="19" t="s">
        <v>23</v>
      </c>
      <c r="B13" t="s">
        <v>28</v>
      </c>
      <c r="C13" t="s">
        <v>19</v>
      </c>
      <c r="D13" t="s">
        <v>49</v>
      </c>
      <c r="E13" t="s">
        <v>22</v>
      </c>
    </row>
    <row r="14" spans="1:5">
      <c r="A14">
        <v>110.8</v>
      </c>
      <c r="B14">
        <v>156.30000000000001</v>
      </c>
      <c r="C14">
        <v>88.4</v>
      </c>
      <c r="D14">
        <v>131.19999999999999</v>
      </c>
      <c r="E14">
        <v>125.3</v>
      </c>
    </row>
    <row r="16" spans="1:5" ht="17">
      <c r="A16" s="4" t="s">
        <v>56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2036A-872A-4C75-818E-D207A5220103}">
  <sheetPr>
    <tabColor theme="3" tint="0.89999084444715716"/>
  </sheetPr>
  <dimension ref="B2:U35"/>
  <sheetViews>
    <sheetView zoomScale="115" workbookViewId="0">
      <selection activeCell="A40" sqref="A40:XFD45"/>
    </sheetView>
  </sheetViews>
  <sheetFormatPr baseColWidth="10" defaultColWidth="8.83203125" defaultRowHeight="15"/>
  <cols>
    <col min="2" max="2" width="16.5" customWidth="1"/>
    <col min="3" max="3" width="21.1640625" customWidth="1"/>
    <col min="4" max="4" width="19.1640625" customWidth="1"/>
    <col min="5" max="5" width="27.5" customWidth="1"/>
  </cols>
  <sheetData>
    <row r="2" spans="2:21">
      <c r="B2" s="43" t="s">
        <v>57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</row>
    <row r="3" spans="2:21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</row>
    <row r="4" spans="2:21" ht="31.5" customHeight="1">
      <c r="B4" s="45" t="s">
        <v>58</v>
      </c>
      <c r="C4" s="45"/>
      <c r="D4" s="45"/>
      <c r="E4" s="4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</row>
    <row r="5" spans="2:21" ht="25">
      <c r="B5" s="34" t="s">
        <v>17</v>
      </c>
      <c r="C5" s="34" t="s">
        <v>1</v>
      </c>
      <c r="D5" s="34" t="s">
        <v>2</v>
      </c>
      <c r="E5" s="36" t="s">
        <v>3</v>
      </c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</row>
    <row r="6" spans="2:21">
      <c r="B6" s="37" t="s">
        <v>18</v>
      </c>
      <c r="C6" s="37">
        <v>2824</v>
      </c>
      <c r="D6" s="37">
        <v>108.2</v>
      </c>
      <c r="E6" s="37" t="s">
        <v>59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</row>
    <row r="7" spans="2:21">
      <c r="B7" s="37" t="s">
        <v>20</v>
      </c>
      <c r="C7" s="37">
        <v>2918</v>
      </c>
      <c r="D7" s="37">
        <v>150.6</v>
      </c>
      <c r="E7" s="37" t="s">
        <v>60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</row>
    <row r="8" spans="2:21"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</row>
    <row r="9" spans="2:21">
      <c r="B9" s="42" t="s">
        <v>8</v>
      </c>
      <c r="C9" s="42"/>
      <c r="D9" s="42"/>
      <c r="E9" s="42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</row>
    <row r="10" spans="2:21">
      <c r="B10" s="34" t="s">
        <v>9</v>
      </c>
      <c r="C10" s="34" t="s">
        <v>10</v>
      </c>
      <c r="D10" s="34" t="s">
        <v>11</v>
      </c>
      <c r="E10" s="34" t="s">
        <v>12</v>
      </c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</row>
    <row r="11" spans="2:21">
      <c r="B11" s="37" t="s">
        <v>61</v>
      </c>
      <c r="C11" s="1">
        <v>0.71801466385117996</v>
      </c>
      <c r="D11" s="2" t="s">
        <v>16</v>
      </c>
      <c r="E11" s="3">
        <v>-28.198533614881999</v>
      </c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</row>
    <row r="13" spans="2:21">
      <c r="B13" s="43" t="s">
        <v>62</v>
      </c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</row>
    <row r="14" spans="2:21"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</row>
    <row r="15" spans="2:21">
      <c r="B15" s="42" t="s">
        <v>63</v>
      </c>
      <c r="C15" s="42"/>
      <c r="D15" s="42"/>
      <c r="E15" s="42"/>
      <c r="F15" s="42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</row>
    <row r="16" spans="2:21" ht="37">
      <c r="B16" s="34" t="s">
        <v>17</v>
      </c>
      <c r="C16" s="34" t="s">
        <v>33</v>
      </c>
      <c r="D16" s="34" t="s">
        <v>1</v>
      </c>
      <c r="E16" s="34" t="s">
        <v>2</v>
      </c>
      <c r="F16" s="36" t="s">
        <v>3</v>
      </c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</row>
    <row r="17" spans="2:21">
      <c r="B17" s="37" t="s">
        <v>18</v>
      </c>
      <c r="C17" s="37" t="s">
        <v>4</v>
      </c>
      <c r="D17" s="37">
        <v>7</v>
      </c>
      <c r="E17" s="37">
        <v>0</v>
      </c>
      <c r="F17" s="37" t="s">
        <v>5</v>
      </c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</row>
    <row r="18" spans="2:21">
      <c r="B18" s="37" t="s">
        <v>18</v>
      </c>
      <c r="C18" s="37" t="s">
        <v>6</v>
      </c>
      <c r="D18" s="37">
        <v>246</v>
      </c>
      <c r="E18" s="37">
        <v>90.1</v>
      </c>
      <c r="F18" s="37" t="s">
        <v>64</v>
      </c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</row>
    <row r="19" spans="2:21">
      <c r="B19" s="37" t="s">
        <v>18</v>
      </c>
      <c r="C19" s="37" t="s">
        <v>15</v>
      </c>
      <c r="D19" s="37">
        <v>858</v>
      </c>
      <c r="E19" s="37">
        <v>133.9</v>
      </c>
      <c r="F19" s="37" t="s">
        <v>65</v>
      </c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</row>
    <row r="20" spans="2:21">
      <c r="B20" s="37" t="s">
        <v>18</v>
      </c>
      <c r="C20" s="37" t="s">
        <v>19</v>
      </c>
      <c r="D20" s="37">
        <v>263</v>
      </c>
      <c r="E20" s="37">
        <v>70</v>
      </c>
      <c r="F20" s="37" t="s">
        <v>66</v>
      </c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</row>
    <row r="21" spans="2:21">
      <c r="B21" s="37" t="s">
        <v>18</v>
      </c>
      <c r="C21" s="37" t="s">
        <v>34</v>
      </c>
      <c r="D21" s="37">
        <v>1406</v>
      </c>
      <c r="E21" s="37">
        <v>118</v>
      </c>
      <c r="F21" s="37" t="s">
        <v>67</v>
      </c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</row>
    <row r="22" spans="2:21">
      <c r="B22" s="37" t="s">
        <v>20</v>
      </c>
      <c r="C22" s="37" t="s">
        <v>4</v>
      </c>
      <c r="D22" s="37">
        <v>10</v>
      </c>
      <c r="E22" s="37">
        <v>0</v>
      </c>
      <c r="F22" s="37" t="s">
        <v>5</v>
      </c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</row>
    <row r="23" spans="2:21">
      <c r="B23" s="37" t="s">
        <v>20</v>
      </c>
      <c r="C23" s="37" t="s">
        <v>6</v>
      </c>
      <c r="D23" s="37">
        <v>298</v>
      </c>
      <c r="E23" s="37">
        <v>138.6</v>
      </c>
      <c r="F23" s="37" t="s">
        <v>68</v>
      </c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</row>
    <row r="24" spans="2:21">
      <c r="B24" s="37" t="s">
        <v>20</v>
      </c>
      <c r="C24" s="37" t="s">
        <v>15</v>
      </c>
      <c r="D24" s="37">
        <v>822</v>
      </c>
      <c r="E24" s="37">
        <v>193.8</v>
      </c>
      <c r="F24" s="37" t="s">
        <v>69</v>
      </c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</row>
    <row r="25" spans="2:21">
      <c r="B25" s="37" t="s">
        <v>20</v>
      </c>
      <c r="C25" s="37" t="s">
        <v>19</v>
      </c>
      <c r="D25" s="37">
        <v>285</v>
      </c>
      <c r="E25" s="37">
        <v>119.6</v>
      </c>
      <c r="F25" s="37" t="s">
        <v>70</v>
      </c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</row>
    <row r="26" spans="2:21">
      <c r="B26" s="37" t="s">
        <v>20</v>
      </c>
      <c r="C26" s="37" t="s">
        <v>34</v>
      </c>
      <c r="D26" s="37">
        <v>1463</v>
      </c>
      <c r="E26" s="37">
        <v>150.6</v>
      </c>
      <c r="F26" s="37" t="s">
        <v>71</v>
      </c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</row>
    <row r="27" spans="2:21"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</row>
    <row r="28" spans="2:21">
      <c r="B28" s="42" t="s">
        <v>8</v>
      </c>
      <c r="C28" s="42"/>
      <c r="D28" s="42"/>
      <c r="E28" s="42"/>
      <c r="F28" s="42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</row>
    <row r="29" spans="2:21">
      <c r="B29" s="34" t="s">
        <v>17</v>
      </c>
      <c r="C29" s="34" t="s">
        <v>9</v>
      </c>
      <c r="D29" s="34" t="s">
        <v>10</v>
      </c>
      <c r="E29" s="34" t="s">
        <v>11</v>
      </c>
      <c r="F29" s="34" t="s">
        <v>12</v>
      </c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</row>
    <row r="30" spans="2:21">
      <c r="B30" s="37" t="s">
        <v>18</v>
      </c>
      <c r="C30" s="37" t="s">
        <v>35</v>
      </c>
      <c r="D30" s="1">
        <v>0.76349380029758995</v>
      </c>
      <c r="E30" s="2" t="s">
        <v>16</v>
      </c>
      <c r="F30" s="3">
        <v>-23.650619970240999</v>
      </c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</row>
    <row r="31" spans="2:21">
      <c r="B31" s="37" t="s">
        <v>18</v>
      </c>
      <c r="C31" s="37" t="s">
        <v>36</v>
      </c>
      <c r="D31" s="1">
        <v>1.1344605120208899</v>
      </c>
      <c r="E31" s="2">
        <v>8.6999999999999994E-3</v>
      </c>
      <c r="F31" s="3">
        <v>13.446051202088899</v>
      </c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</row>
    <row r="32" spans="2:21">
      <c r="B32" s="37" t="s">
        <v>18</v>
      </c>
      <c r="C32" s="37" t="s">
        <v>37</v>
      </c>
      <c r="D32" s="1">
        <v>0.59341953282602</v>
      </c>
      <c r="E32" s="2" t="s">
        <v>16</v>
      </c>
      <c r="F32" s="3">
        <v>-40.658046717398001</v>
      </c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</row>
    <row r="33" spans="2:21">
      <c r="B33" s="37" t="s">
        <v>20</v>
      </c>
      <c r="C33" s="37" t="s">
        <v>35</v>
      </c>
      <c r="D33" s="1">
        <v>0.92070781975792004</v>
      </c>
      <c r="E33" s="21">
        <v>0.1598</v>
      </c>
      <c r="F33" s="22" t="s">
        <v>4</v>
      </c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</row>
    <row r="34" spans="2:21">
      <c r="B34" s="37" t="s">
        <v>20</v>
      </c>
      <c r="C34" s="37" t="s">
        <v>36</v>
      </c>
      <c r="D34" s="1">
        <v>1.28683616748631</v>
      </c>
      <c r="E34" s="2" t="s">
        <v>16</v>
      </c>
      <c r="F34" s="3">
        <v>28.683616748631401</v>
      </c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</row>
    <row r="35" spans="2:21">
      <c r="B35" s="37" t="s">
        <v>20</v>
      </c>
      <c r="C35" s="37" t="s">
        <v>37</v>
      </c>
      <c r="D35" s="1">
        <v>0.79456264194461002</v>
      </c>
      <c r="E35" s="2" t="s">
        <v>16</v>
      </c>
      <c r="F35" s="3">
        <v>-20.543735805539001</v>
      </c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</row>
  </sheetData>
  <mergeCells count="6">
    <mergeCell ref="B28:F28"/>
    <mergeCell ref="B2:U2"/>
    <mergeCell ref="B4:E4"/>
    <mergeCell ref="B9:E9"/>
    <mergeCell ref="B13:U13"/>
    <mergeCell ref="B15:F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A47CB-A4B7-4C4C-829F-FDF6268A038E}">
  <sheetPr>
    <tabColor theme="3" tint="0.89999084444715716"/>
  </sheetPr>
  <dimension ref="A1:K8"/>
  <sheetViews>
    <sheetView workbookViewId="0">
      <selection activeCell="N73" sqref="N73"/>
    </sheetView>
  </sheetViews>
  <sheetFormatPr baseColWidth="10" defaultColWidth="8.83203125" defaultRowHeight="15"/>
  <cols>
    <col min="4" max="4" width="13.5" customWidth="1"/>
  </cols>
  <sheetData>
    <row r="1" spans="1:11">
      <c r="A1" s="5" t="s">
        <v>72</v>
      </c>
    </row>
    <row r="3" spans="1:11">
      <c r="B3" s="46" t="s">
        <v>18</v>
      </c>
      <c r="C3" s="46"/>
      <c r="D3" s="46"/>
      <c r="E3" s="46"/>
      <c r="F3" s="46"/>
      <c r="G3" s="46" t="s">
        <v>20</v>
      </c>
      <c r="H3" s="46"/>
      <c r="I3" s="46"/>
      <c r="J3" s="46"/>
      <c r="K3" s="46"/>
    </row>
    <row r="4" spans="1:11">
      <c r="B4" t="s">
        <v>23</v>
      </c>
      <c r="C4" t="s">
        <v>28</v>
      </c>
      <c r="D4" t="s">
        <v>19</v>
      </c>
      <c r="E4" t="s">
        <v>49</v>
      </c>
      <c r="F4" t="s">
        <v>22</v>
      </c>
      <c r="G4" t="s">
        <v>23</v>
      </c>
      <c r="H4" t="s">
        <v>28</v>
      </c>
      <c r="I4" t="s">
        <v>19</v>
      </c>
      <c r="J4" t="s">
        <v>49</v>
      </c>
      <c r="K4" t="s">
        <v>22</v>
      </c>
    </row>
    <row r="5" spans="1:11">
      <c r="B5" s="23">
        <v>90.1</v>
      </c>
      <c r="C5" s="23">
        <v>133.9</v>
      </c>
      <c r="D5" s="24">
        <v>70</v>
      </c>
      <c r="E5" s="25">
        <v>118</v>
      </c>
      <c r="F5">
        <v>108.2</v>
      </c>
      <c r="G5">
        <v>138.6</v>
      </c>
      <c r="H5" s="23">
        <v>193.8</v>
      </c>
      <c r="I5" s="23">
        <v>119.6</v>
      </c>
      <c r="J5">
        <v>150.6</v>
      </c>
      <c r="K5">
        <v>150.6</v>
      </c>
    </row>
    <row r="8" spans="1:11" ht="17">
      <c r="B8" s="4" t="s">
        <v>73</v>
      </c>
    </row>
  </sheetData>
  <mergeCells count="2">
    <mergeCell ref="B3:F3"/>
    <mergeCell ref="G3:K3"/>
  </mergeCells>
  <pageMargins left="0.7" right="0.7" top="0.75" bottom="0.75" header="0.3" footer="0.3"/>
  <pageSetup orientation="portrait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402F9-EDEA-46AE-B742-ED98D563644E}">
  <sheetPr>
    <tabColor theme="3" tint="0.89999084444715716"/>
  </sheetPr>
  <dimension ref="A1:T100"/>
  <sheetViews>
    <sheetView topLeftCell="A65" zoomScale="150" workbookViewId="0">
      <selection activeCell="X22" sqref="X22"/>
    </sheetView>
  </sheetViews>
  <sheetFormatPr baseColWidth="10" defaultColWidth="8.83203125" defaultRowHeight="15"/>
  <sheetData>
    <row r="1" spans="1:20">
      <c r="A1" s="47" t="s">
        <v>74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</row>
    <row r="2" spans="1:20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</row>
    <row r="3" spans="1:20">
      <c r="A3" s="42" t="s">
        <v>75</v>
      </c>
      <c r="B3" s="42"/>
      <c r="C3" s="42"/>
      <c r="D3" s="42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</row>
    <row r="4" spans="1:20" ht="37">
      <c r="A4" s="34" t="s">
        <v>76</v>
      </c>
      <c r="B4" s="34" t="s">
        <v>77</v>
      </c>
      <c r="C4" s="34" t="s">
        <v>2</v>
      </c>
      <c r="D4" s="36" t="s">
        <v>3</v>
      </c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</row>
    <row r="5" spans="1:20">
      <c r="A5" s="37" t="s">
        <v>22</v>
      </c>
      <c r="B5" s="37">
        <v>3557</v>
      </c>
      <c r="C5" s="37">
        <v>7.8</v>
      </c>
      <c r="D5" s="37" t="s">
        <v>78</v>
      </c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</row>
    <row r="7" spans="1:20">
      <c r="A7" s="47" t="s">
        <v>79</v>
      </c>
      <c r="B7" s="44"/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</row>
    <row r="8" spans="1:20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</row>
    <row r="9" spans="1:20">
      <c r="A9" s="42" t="s">
        <v>80</v>
      </c>
      <c r="B9" s="42"/>
      <c r="C9" s="42"/>
      <c r="D9" s="42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</row>
    <row r="10" spans="1:20" ht="37">
      <c r="A10" s="34" t="s">
        <v>17</v>
      </c>
      <c r="B10" s="34" t="s">
        <v>77</v>
      </c>
      <c r="C10" s="34" t="s">
        <v>2</v>
      </c>
      <c r="D10" s="36" t="s">
        <v>3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</row>
    <row r="11" spans="1:20">
      <c r="A11" s="37" t="s">
        <v>18</v>
      </c>
      <c r="B11" s="37">
        <v>1723</v>
      </c>
      <c r="C11" s="37">
        <v>6.7</v>
      </c>
      <c r="D11" s="37" t="s">
        <v>81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</row>
    <row r="12" spans="1:20">
      <c r="A12" s="37" t="s">
        <v>20</v>
      </c>
      <c r="B12" s="37">
        <v>1834</v>
      </c>
      <c r="C12" s="37">
        <v>9.1999999999999993</v>
      </c>
      <c r="D12" s="37" t="s">
        <v>82</v>
      </c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</row>
    <row r="13" spans="1:20">
      <c r="A13" s="41" t="s">
        <v>83</v>
      </c>
      <c r="B13" s="41"/>
      <c r="C13" s="41"/>
      <c r="D13" s="41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</row>
    <row r="14" spans="1:20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</row>
    <row r="15" spans="1:20">
      <c r="A15" s="42" t="s">
        <v>84</v>
      </c>
      <c r="B15" s="42"/>
      <c r="C15" s="42"/>
      <c r="D15" s="42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</row>
    <row r="16" spans="1:20">
      <c r="A16" s="34" t="s">
        <v>9</v>
      </c>
      <c r="B16" s="34" t="s">
        <v>10</v>
      </c>
      <c r="C16" s="34" t="s">
        <v>11</v>
      </c>
      <c r="D16" s="34" t="s">
        <v>12</v>
      </c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spans="1:20">
      <c r="A17" s="37" t="s">
        <v>61</v>
      </c>
      <c r="B17" s="1">
        <v>0.72984842768869995</v>
      </c>
      <c r="C17" s="2" t="s">
        <v>16</v>
      </c>
      <c r="D17" s="3">
        <v>-27.015157231130001</v>
      </c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</row>
    <row r="19" spans="1:20">
      <c r="A19" s="47" t="s">
        <v>85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</row>
    <row r="20" spans="1:20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spans="1:20">
      <c r="A21" s="42" t="s">
        <v>86</v>
      </c>
      <c r="B21" s="42"/>
      <c r="C21" s="42"/>
      <c r="D21" s="42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spans="1:20" ht="37">
      <c r="A22" s="34" t="s">
        <v>0</v>
      </c>
      <c r="B22" s="34" t="s">
        <v>77</v>
      </c>
      <c r="C22" s="34" t="s">
        <v>2</v>
      </c>
      <c r="D22" s="36" t="s">
        <v>3</v>
      </c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spans="1:20">
      <c r="A23" s="37" t="s">
        <v>6</v>
      </c>
      <c r="B23" s="37">
        <v>237</v>
      </c>
      <c r="C23" s="37">
        <v>4.8</v>
      </c>
      <c r="D23" s="37" t="s">
        <v>87</v>
      </c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</row>
    <row r="24" spans="1:20">
      <c r="A24" s="37" t="s">
        <v>7</v>
      </c>
      <c r="B24" s="37">
        <v>3193</v>
      </c>
      <c r="C24" s="37">
        <v>7.8</v>
      </c>
      <c r="D24" s="37" t="s">
        <v>88</v>
      </c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</row>
    <row r="25" spans="1:20">
      <c r="A25" s="41" t="s">
        <v>83</v>
      </c>
      <c r="B25" s="41"/>
      <c r="C25" s="41"/>
      <c r="D25" s="41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</row>
    <row r="26" spans="1:20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</row>
    <row r="27" spans="1:20">
      <c r="A27" s="42" t="s">
        <v>84</v>
      </c>
      <c r="B27" s="42"/>
      <c r="C27" s="42"/>
      <c r="D27" s="42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</row>
    <row r="28" spans="1:20">
      <c r="A28" s="34" t="s">
        <v>9</v>
      </c>
      <c r="B28" s="34" t="s">
        <v>10</v>
      </c>
      <c r="C28" s="34" t="s">
        <v>11</v>
      </c>
      <c r="D28" s="34" t="s">
        <v>12</v>
      </c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</row>
    <row r="29" spans="1:20">
      <c r="A29" s="37" t="s">
        <v>13</v>
      </c>
      <c r="B29" s="1">
        <v>0.61229175046210005</v>
      </c>
      <c r="C29" s="2" t="s">
        <v>16</v>
      </c>
      <c r="D29" s="3">
        <v>-38.770824953789997</v>
      </c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</row>
    <row r="31" spans="1:20">
      <c r="A31" s="47" t="s">
        <v>89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</row>
    <row r="32" spans="1:20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</row>
    <row r="33" spans="1:20">
      <c r="A33" s="42" t="s">
        <v>90</v>
      </c>
      <c r="B33" s="42"/>
      <c r="C33" s="42"/>
      <c r="D33" s="42"/>
      <c r="E33" s="42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</row>
    <row r="34" spans="1:20" ht="37">
      <c r="A34" s="34" t="s">
        <v>17</v>
      </c>
      <c r="B34" s="34" t="s">
        <v>0</v>
      </c>
      <c r="C34" s="34" t="s">
        <v>77</v>
      </c>
      <c r="D34" s="34" t="s">
        <v>2</v>
      </c>
      <c r="E34" s="36" t="s">
        <v>3</v>
      </c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</row>
    <row r="35" spans="1:20">
      <c r="A35" s="37" t="s">
        <v>18</v>
      </c>
      <c r="B35" s="37" t="s">
        <v>6</v>
      </c>
      <c r="C35" s="37">
        <v>113</v>
      </c>
      <c r="D35" s="37">
        <v>4</v>
      </c>
      <c r="E35" s="37" t="s">
        <v>91</v>
      </c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</row>
    <row r="36" spans="1:20">
      <c r="A36" s="37" t="s">
        <v>18</v>
      </c>
      <c r="B36" s="37" t="s">
        <v>7</v>
      </c>
      <c r="C36" s="37">
        <v>1544</v>
      </c>
      <c r="D36" s="37">
        <v>6.7</v>
      </c>
      <c r="E36" s="37" t="s">
        <v>92</v>
      </c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</row>
    <row r="37" spans="1:20">
      <c r="A37" s="37" t="s">
        <v>20</v>
      </c>
      <c r="B37" s="37" t="s">
        <v>6</v>
      </c>
      <c r="C37" s="37">
        <v>124</v>
      </c>
      <c r="D37" s="37">
        <v>5.9</v>
      </c>
      <c r="E37" s="37" t="s">
        <v>93</v>
      </c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</row>
    <row r="38" spans="1:20">
      <c r="A38" s="37" t="s">
        <v>20</v>
      </c>
      <c r="B38" s="37" t="s">
        <v>7</v>
      </c>
      <c r="C38" s="37">
        <v>1649</v>
      </c>
      <c r="D38" s="37">
        <v>9.1999999999999993</v>
      </c>
      <c r="E38" s="37" t="s">
        <v>94</v>
      </c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</row>
    <row r="39" spans="1:20">
      <c r="A39" s="41" t="s">
        <v>83</v>
      </c>
      <c r="B39" s="41"/>
      <c r="C39" s="41"/>
      <c r="D39" s="41"/>
      <c r="E39" s="41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</row>
    <row r="40" spans="1:20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</row>
    <row r="41" spans="1:20">
      <c r="A41" s="42" t="s">
        <v>84</v>
      </c>
      <c r="B41" s="42"/>
      <c r="C41" s="42"/>
      <c r="D41" s="42"/>
      <c r="E41" s="42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</row>
    <row r="42" spans="1:20">
      <c r="A42" s="34" t="s">
        <v>17</v>
      </c>
      <c r="B42" s="34" t="s">
        <v>9</v>
      </c>
      <c r="C42" s="34" t="s">
        <v>10</v>
      </c>
      <c r="D42" s="34" t="s">
        <v>11</v>
      </c>
      <c r="E42" s="34" t="s">
        <v>12</v>
      </c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</row>
    <row r="43" spans="1:20">
      <c r="A43" s="37" t="s">
        <v>18</v>
      </c>
      <c r="B43" s="37" t="s">
        <v>13</v>
      </c>
      <c r="C43" s="1">
        <v>0.59320279654067998</v>
      </c>
      <c r="D43" s="2" t="s">
        <v>16</v>
      </c>
      <c r="E43" s="3">
        <v>-40.679720345931997</v>
      </c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</row>
    <row r="44" spans="1:20">
      <c r="A44" s="37" t="s">
        <v>20</v>
      </c>
      <c r="B44" s="37" t="s">
        <v>13</v>
      </c>
      <c r="C44" s="1">
        <v>0.64002363520965999</v>
      </c>
      <c r="D44" s="2" t="s">
        <v>16</v>
      </c>
      <c r="E44" s="3">
        <v>-35.997636479034</v>
      </c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</row>
    <row r="47" spans="1:20">
      <c r="A47" s="47" t="s">
        <v>95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</row>
    <row r="48" spans="1:20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</row>
    <row r="49" spans="1:20">
      <c r="A49" s="42" t="s">
        <v>86</v>
      </c>
      <c r="B49" s="42"/>
      <c r="C49" s="42"/>
      <c r="D49" s="42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</row>
    <row r="50" spans="1:20" ht="37">
      <c r="A50" s="34" t="s">
        <v>0</v>
      </c>
      <c r="B50" s="34" t="s">
        <v>77</v>
      </c>
      <c r="C50" s="34" t="s">
        <v>2</v>
      </c>
      <c r="D50" s="36" t="s">
        <v>3</v>
      </c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</row>
    <row r="51" spans="1:20">
      <c r="A51" s="37" t="s">
        <v>28</v>
      </c>
      <c r="B51" s="37">
        <v>1418</v>
      </c>
      <c r="C51" s="37">
        <v>13.6</v>
      </c>
      <c r="D51" s="37" t="s">
        <v>96</v>
      </c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</row>
    <row r="52" spans="1:20">
      <c r="A52" s="37" t="s">
        <v>7</v>
      </c>
      <c r="B52" s="37">
        <v>2012</v>
      </c>
      <c r="C52" s="37">
        <v>5.7</v>
      </c>
      <c r="D52" s="37" t="s">
        <v>97</v>
      </c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</row>
    <row r="53" spans="1:20">
      <c r="A53" s="41" t="s">
        <v>83</v>
      </c>
      <c r="B53" s="41"/>
      <c r="C53" s="41"/>
      <c r="D53" s="41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</row>
    <row r="54" spans="1:20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</row>
    <row r="55" spans="1:20">
      <c r="A55" s="42" t="s">
        <v>84</v>
      </c>
      <c r="B55" s="42"/>
      <c r="C55" s="42"/>
      <c r="D55" s="42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</row>
    <row r="56" spans="1:20">
      <c r="A56" s="34" t="s">
        <v>9</v>
      </c>
      <c r="B56" s="34" t="s">
        <v>10</v>
      </c>
      <c r="C56" s="34" t="s">
        <v>11</v>
      </c>
      <c r="D56" s="34" t="s">
        <v>12</v>
      </c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</row>
    <row r="57" spans="1:20">
      <c r="A57" s="37" t="s">
        <v>13</v>
      </c>
      <c r="B57" s="1">
        <v>2.3645518336306202</v>
      </c>
      <c r="C57" s="2" t="s">
        <v>16</v>
      </c>
      <c r="D57" s="3">
        <v>136.45518336306199</v>
      </c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</row>
    <row r="59" spans="1:20">
      <c r="A59" s="47" t="s">
        <v>98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</row>
    <row r="60" spans="1:20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</row>
    <row r="61" spans="1:20">
      <c r="A61" s="42" t="s">
        <v>90</v>
      </c>
      <c r="B61" s="42"/>
      <c r="C61" s="42"/>
      <c r="D61" s="42"/>
      <c r="E61" s="42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</row>
    <row r="62" spans="1:20" ht="37">
      <c r="A62" s="34" t="s">
        <v>17</v>
      </c>
      <c r="B62" s="34" t="s">
        <v>0</v>
      </c>
      <c r="C62" s="34" t="s">
        <v>77</v>
      </c>
      <c r="D62" s="34" t="s">
        <v>2</v>
      </c>
      <c r="E62" s="36" t="s">
        <v>3</v>
      </c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</row>
    <row r="63" spans="1:20">
      <c r="A63" s="37" t="s">
        <v>18</v>
      </c>
      <c r="B63" s="37" t="s">
        <v>28</v>
      </c>
      <c r="C63" s="37">
        <v>729</v>
      </c>
      <c r="D63" s="37">
        <v>12</v>
      </c>
      <c r="E63" s="37" t="s">
        <v>99</v>
      </c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</row>
    <row r="64" spans="1:20">
      <c r="A64" s="37" t="s">
        <v>18</v>
      </c>
      <c r="B64" s="37" t="s">
        <v>7</v>
      </c>
      <c r="C64" s="37">
        <v>928</v>
      </c>
      <c r="D64" s="37">
        <v>4.7</v>
      </c>
      <c r="E64" s="37" t="s">
        <v>100</v>
      </c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</row>
    <row r="65" spans="1:20">
      <c r="A65" s="37" t="s">
        <v>20</v>
      </c>
      <c r="B65" s="37" t="s">
        <v>28</v>
      </c>
      <c r="C65" s="37">
        <v>689</v>
      </c>
      <c r="D65" s="37">
        <v>15.9</v>
      </c>
      <c r="E65" s="37" t="s">
        <v>101</v>
      </c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</row>
    <row r="66" spans="1:20">
      <c r="A66" s="37" t="s">
        <v>20</v>
      </c>
      <c r="B66" s="37" t="s">
        <v>7</v>
      </c>
      <c r="C66" s="37">
        <v>1084</v>
      </c>
      <c r="D66" s="37">
        <v>7</v>
      </c>
      <c r="E66" s="37" t="s">
        <v>102</v>
      </c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</row>
    <row r="67" spans="1:20">
      <c r="A67" s="41" t="s">
        <v>83</v>
      </c>
      <c r="B67" s="41"/>
      <c r="C67" s="41"/>
      <c r="D67" s="41"/>
      <c r="E67" s="41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</row>
    <row r="68" spans="1:20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</row>
    <row r="69" spans="1:20">
      <c r="A69" s="42" t="s">
        <v>84</v>
      </c>
      <c r="B69" s="42"/>
      <c r="C69" s="42"/>
      <c r="D69" s="42"/>
      <c r="E69" s="42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</row>
    <row r="70" spans="1:20">
      <c r="A70" s="34" t="s">
        <v>17</v>
      </c>
      <c r="B70" s="34" t="s">
        <v>9</v>
      </c>
      <c r="C70" s="34" t="s">
        <v>10</v>
      </c>
      <c r="D70" s="34" t="s">
        <v>11</v>
      </c>
      <c r="E70" s="34" t="s">
        <v>12</v>
      </c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</row>
    <row r="71" spans="1:20">
      <c r="A71" s="37" t="s">
        <v>18</v>
      </c>
      <c r="B71" s="37" t="s">
        <v>13</v>
      </c>
      <c r="C71" s="1">
        <v>2.53305335486507</v>
      </c>
      <c r="D71" s="2" t="s">
        <v>16</v>
      </c>
      <c r="E71" s="3">
        <v>153.305335486507</v>
      </c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</row>
    <row r="72" spans="1:20">
      <c r="A72" s="37" t="s">
        <v>20</v>
      </c>
      <c r="B72" s="37" t="s">
        <v>13</v>
      </c>
      <c r="C72" s="1">
        <v>2.26216197228905</v>
      </c>
      <c r="D72" s="2" t="s">
        <v>16</v>
      </c>
      <c r="E72" s="3">
        <v>126.216197228905</v>
      </c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</row>
    <row r="75" spans="1:20">
      <c r="A75" s="47" t="s">
        <v>103</v>
      </c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</row>
    <row r="76" spans="1:20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</row>
    <row r="77" spans="1:20">
      <c r="A77" s="42" t="s">
        <v>86</v>
      </c>
      <c r="B77" s="42"/>
      <c r="C77" s="42"/>
      <c r="D77" s="42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</row>
    <row r="78" spans="1:20" ht="37">
      <c r="A78" s="34" t="s">
        <v>0</v>
      </c>
      <c r="B78" s="34" t="s">
        <v>77</v>
      </c>
      <c r="C78" s="34" t="s">
        <v>2</v>
      </c>
      <c r="D78" s="36" t="s">
        <v>3</v>
      </c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</row>
    <row r="79" spans="1:20">
      <c r="A79" s="37" t="s">
        <v>19</v>
      </c>
      <c r="B79" s="37">
        <v>512</v>
      </c>
      <c r="C79" s="37">
        <v>7.5</v>
      </c>
      <c r="D79" s="37" t="s">
        <v>104</v>
      </c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</row>
    <row r="80" spans="1:20">
      <c r="A80" s="37" t="s">
        <v>7</v>
      </c>
      <c r="B80" s="37">
        <v>2918</v>
      </c>
      <c r="C80" s="37">
        <v>7.5</v>
      </c>
      <c r="D80" s="37" t="s">
        <v>105</v>
      </c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</row>
    <row r="81" spans="1:20">
      <c r="A81" s="41" t="s">
        <v>83</v>
      </c>
      <c r="B81" s="41"/>
      <c r="C81" s="41"/>
      <c r="D81" s="41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</row>
    <row r="82" spans="1:20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</row>
    <row r="83" spans="1:20">
      <c r="A83" s="42" t="s">
        <v>84</v>
      </c>
      <c r="B83" s="42"/>
      <c r="C83" s="42"/>
      <c r="D83" s="42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</row>
    <row r="84" spans="1:20">
      <c r="A84" s="34" t="s">
        <v>9</v>
      </c>
      <c r="B84" s="34" t="s">
        <v>10</v>
      </c>
      <c r="C84" s="34" t="s">
        <v>11</v>
      </c>
      <c r="D84" s="34" t="s">
        <v>12</v>
      </c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</row>
    <row r="85" spans="1:20">
      <c r="A85" s="37" t="s">
        <v>13</v>
      </c>
      <c r="B85" s="1">
        <v>0.99015201431204003</v>
      </c>
      <c r="C85" s="21">
        <v>0.81779999999999997</v>
      </c>
      <c r="D85" s="22" t="s">
        <v>4</v>
      </c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</row>
    <row r="87" spans="1:20">
      <c r="A87" s="47" t="s">
        <v>106</v>
      </c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</row>
    <row r="88" spans="1:20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</row>
    <row r="89" spans="1:20">
      <c r="A89" s="42" t="s">
        <v>90</v>
      </c>
      <c r="B89" s="42"/>
      <c r="C89" s="42"/>
      <c r="D89" s="42"/>
      <c r="E89" s="42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</row>
    <row r="90" spans="1:20">
      <c r="A90" s="34" t="s">
        <v>17</v>
      </c>
      <c r="B90" s="34" t="s">
        <v>0</v>
      </c>
      <c r="C90" s="34" t="s">
        <v>77</v>
      </c>
      <c r="D90" s="34" t="s">
        <v>2</v>
      </c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</row>
    <row r="91" spans="1:20">
      <c r="A91" s="37" t="s">
        <v>18</v>
      </c>
      <c r="B91" s="37" t="s">
        <v>19</v>
      </c>
      <c r="C91" s="37">
        <v>259</v>
      </c>
      <c r="D91" s="37">
        <v>6.4</v>
      </c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</row>
    <row r="92" spans="1:20">
      <c r="A92" s="37" t="s">
        <v>18</v>
      </c>
      <c r="B92" s="37" t="s">
        <v>7</v>
      </c>
      <c r="C92" s="37">
        <v>1398</v>
      </c>
      <c r="D92" s="37">
        <v>6.5</v>
      </c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</row>
    <row r="93" spans="1:20">
      <c r="A93" s="37" t="s">
        <v>20</v>
      </c>
      <c r="B93" s="37" t="s">
        <v>19</v>
      </c>
      <c r="C93" s="37">
        <v>253</v>
      </c>
      <c r="D93" s="37">
        <v>9</v>
      </c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</row>
    <row r="94" spans="1:20">
      <c r="A94" s="37" t="s">
        <v>20</v>
      </c>
      <c r="B94" s="37" t="s">
        <v>7</v>
      </c>
      <c r="C94" s="37">
        <v>1520</v>
      </c>
      <c r="D94" s="37">
        <v>8.9</v>
      </c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</row>
    <row r="95" spans="1:20" ht="82.5" customHeight="1">
      <c r="A95" s="41" t="s">
        <v>107</v>
      </c>
      <c r="B95" s="41"/>
      <c r="C95" s="41"/>
      <c r="D95" s="41"/>
      <c r="E95" s="41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</row>
    <row r="96" spans="1:20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</row>
    <row r="97" spans="1:20">
      <c r="A97" s="42" t="s">
        <v>84</v>
      </c>
      <c r="B97" s="42"/>
      <c r="C97" s="42"/>
      <c r="D97" s="42"/>
      <c r="E97" s="42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</row>
    <row r="98" spans="1:20">
      <c r="A98" s="34" t="s">
        <v>17</v>
      </c>
      <c r="B98" s="34" t="s">
        <v>9</v>
      </c>
      <c r="C98" s="34" t="s">
        <v>10</v>
      </c>
      <c r="D98" s="34" t="s">
        <v>11</v>
      </c>
      <c r="E98" s="34" t="s">
        <v>12</v>
      </c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</row>
    <row r="99" spans="1:20">
      <c r="A99" s="37" t="s">
        <v>18</v>
      </c>
      <c r="B99" s="37" t="s">
        <v>13</v>
      </c>
      <c r="C99" s="1">
        <v>0.99309448927340005</v>
      </c>
      <c r="D99" s="21">
        <v>0.91300000000000003</v>
      </c>
      <c r="E99" s="22" t="s">
        <v>4</v>
      </c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</row>
    <row r="100" spans="1:20">
      <c r="A100" s="37" t="s">
        <v>20</v>
      </c>
      <c r="B100" s="37" t="s">
        <v>13</v>
      </c>
      <c r="C100" s="1">
        <v>1.0195447151032599</v>
      </c>
      <c r="D100" s="21">
        <v>0.73580000000000001</v>
      </c>
      <c r="E100" s="22" t="s">
        <v>4</v>
      </c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</row>
  </sheetData>
  <mergeCells count="30">
    <mergeCell ref="A97:E97"/>
    <mergeCell ref="A59:T59"/>
    <mergeCell ref="A61:E61"/>
    <mergeCell ref="A67:E67"/>
    <mergeCell ref="A69:E69"/>
    <mergeCell ref="A75:T75"/>
    <mergeCell ref="A77:D77"/>
    <mergeCell ref="A81:D81"/>
    <mergeCell ref="A83:D83"/>
    <mergeCell ref="A87:T87"/>
    <mergeCell ref="A89:E89"/>
    <mergeCell ref="A95:E95"/>
    <mergeCell ref="A55:D55"/>
    <mergeCell ref="A19:T19"/>
    <mergeCell ref="A21:D21"/>
    <mergeCell ref="A25:D25"/>
    <mergeCell ref="A27:D27"/>
    <mergeCell ref="A31:T31"/>
    <mergeCell ref="A33:E33"/>
    <mergeCell ref="A39:E39"/>
    <mergeCell ref="A41:E41"/>
    <mergeCell ref="A47:T47"/>
    <mergeCell ref="A49:D49"/>
    <mergeCell ref="A53:D53"/>
    <mergeCell ref="A15:D15"/>
    <mergeCell ref="A1:T1"/>
    <mergeCell ref="A3:D3"/>
    <mergeCell ref="A7:T7"/>
    <mergeCell ref="A9:D9"/>
    <mergeCell ref="A13:D13"/>
  </mergeCells>
  <pageMargins left="0.7" right="0.7" top="0.75" bottom="0.75" header="0.3" footer="0.3"/>
  <pageSetup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1FA7B-FE0C-437D-8B8F-6B628FB1CD28}">
  <sheetPr>
    <tabColor theme="3" tint="0.89999084444715716"/>
  </sheetPr>
  <dimension ref="A1:I77"/>
  <sheetViews>
    <sheetView workbookViewId="0">
      <selection activeCell="P42" sqref="P42"/>
    </sheetView>
  </sheetViews>
  <sheetFormatPr baseColWidth="10" defaultColWidth="8.83203125" defaultRowHeight="15"/>
  <cols>
    <col min="1" max="1" width="13.1640625" customWidth="1"/>
    <col min="2" max="2" width="11" customWidth="1"/>
    <col min="3" max="3" width="12.5" customWidth="1"/>
    <col min="4" max="4" width="17.83203125" customWidth="1"/>
  </cols>
  <sheetData>
    <row r="1" spans="1:9">
      <c r="A1" s="5" t="s">
        <v>21</v>
      </c>
    </row>
    <row r="2" spans="1:9">
      <c r="A2" s="19" t="s">
        <v>108</v>
      </c>
    </row>
    <row r="3" spans="1:9">
      <c r="A3" s="19" t="s">
        <v>40</v>
      </c>
    </row>
    <row r="4" spans="1:9">
      <c r="A4" s="19" t="s">
        <v>41</v>
      </c>
    </row>
    <row r="5" spans="1:9">
      <c r="A5" s="19" t="s">
        <v>43</v>
      </c>
    </row>
    <row r="6" spans="1:9">
      <c r="A6" s="19" t="s">
        <v>109</v>
      </c>
    </row>
    <row r="7" spans="1:9">
      <c r="A7" s="19" t="s">
        <v>44</v>
      </c>
    </row>
    <row r="8" spans="1:9">
      <c r="A8" s="19" t="s">
        <v>45</v>
      </c>
    </row>
    <row r="9" spans="1:9">
      <c r="A9" s="19" t="s">
        <v>46</v>
      </c>
    </row>
    <row r="10" spans="1:9">
      <c r="A10" s="19" t="s">
        <v>47</v>
      </c>
    </row>
    <row r="11" spans="1:9">
      <c r="A11" s="19" t="s">
        <v>48</v>
      </c>
    </row>
    <row r="15" spans="1:9">
      <c r="A15" s="38" t="s">
        <v>22</v>
      </c>
      <c r="B15" s="39"/>
      <c r="C15" s="40"/>
      <c r="D15" s="38" t="s">
        <v>18</v>
      </c>
      <c r="E15" s="39"/>
      <c r="F15" s="40"/>
      <c r="G15" s="38" t="s">
        <v>20</v>
      </c>
      <c r="H15" s="39"/>
      <c r="I15" s="39"/>
    </row>
    <row r="16" spans="1:9" ht="32">
      <c r="A16" s="7" t="s">
        <v>23</v>
      </c>
      <c r="B16" s="7" t="s">
        <v>24</v>
      </c>
      <c r="C16" s="7" t="s">
        <v>25</v>
      </c>
      <c r="D16" s="8" t="s">
        <v>23</v>
      </c>
      <c r="E16" s="8" t="s">
        <v>24</v>
      </c>
      <c r="F16" s="8" t="s">
        <v>25</v>
      </c>
      <c r="G16" s="8" t="s">
        <v>23</v>
      </c>
      <c r="H16" s="8" t="s">
        <v>24</v>
      </c>
      <c r="I16" s="8" t="s">
        <v>25</v>
      </c>
    </row>
    <row r="17" spans="1:9" ht="16">
      <c r="A17" s="26">
        <v>4.8</v>
      </c>
      <c r="B17" s="16">
        <v>7.8</v>
      </c>
      <c r="C17" s="16">
        <v>7.8</v>
      </c>
      <c r="D17" s="27">
        <v>4</v>
      </c>
      <c r="E17" s="16">
        <v>6.7</v>
      </c>
      <c r="F17" s="16">
        <v>6.7</v>
      </c>
      <c r="G17" s="26">
        <v>5.9</v>
      </c>
      <c r="H17" s="16">
        <v>9.1999999999999993</v>
      </c>
      <c r="I17" s="16">
        <v>9.1999999999999993</v>
      </c>
    </row>
    <row r="19" spans="1:9" ht="17">
      <c r="A19" s="14" t="s">
        <v>110</v>
      </c>
    </row>
    <row r="44" spans="1:9">
      <c r="A44" s="38" t="s">
        <v>22</v>
      </c>
      <c r="B44" s="39"/>
      <c r="C44" s="40"/>
      <c r="D44" s="38" t="s">
        <v>18</v>
      </c>
      <c r="E44" s="39"/>
      <c r="F44" s="40"/>
      <c r="G44" s="38" t="s">
        <v>20</v>
      </c>
      <c r="H44" s="39"/>
      <c r="I44" s="39"/>
    </row>
    <row r="45" spans="1:9" ht="32">
      <c r="A45" s="7" t="s">
        <v>28</v>
      </c>
      <c r="B45" s="7" t="s">
        <v>24</v>
      </c>
      <c r="C45" s="7" t="s">
        <v>25</v>
      </c>
      <c r="D45" s="8" t="s">
        <v>28</v>
      </c>
      <c r="E45" s="8" t="s">
        <v>24</v>
      </c>
      <c r="F45" s="8" t="s">
        <v>25</v>
      </c>
      <c r="G45" s="8" t="s">
        <v>28</v>
      </c>
      <c r="H45" s="8" t="s">
        <v>24</v>
      </c>
      <c r="I45" s="8" t="s">
        <v>25</v>
      </c>
    </row>
    <row r="46" spans="1:9" ht="16">
      <c r="A46" s="28">
        <v>13.6</v>
      </c>
      <c r="B46" s="11">
        <v>5.7</v>
      </c>
      <c r="C46" s="11">
        <v>7.8</v>
      </c>
      <c r="D46" s="29">
        <v>12</v>
      </c>
      <c r="E46" s="11">
        <v>4.7</v>
      </c>
      <c r="F46" s="11">
        <v>6.7</v>
      </c>
      <c r="G46" s="28">
        <v>15.9</v>
      </c>
      <c r="H46" s="30">
        <v>7</v>
      </c>
      <c r="I46" s="11">
        <v>9.1999999999999993</v>
      </c>
    </row>
    <row r="48" spans="1:9" ht="17">
      <c r="A48" s="14" t="s">
        <v>111</v>
      </c>
    </row>
    <row r="73" spans="1:9">
      <c r="A73" s="38" t="s">
        <v>22</v>
      </c>
      <c r="B73" s="39"/>
      <c r="C73" s="40"/>
      <c r="D73" s="38" t="s">
        <v>18</v>
      </c>
      <c r="E73" s="39"/>
      <c r="F73" s="40"/>
      <c r="G73" s="38" t="s">
        <v>20</v>
      </c>
      <c r="H73" s="39"/>
      <c r="I73" s="39"/>
    </row>
    <row r="74" spans="1:9" ht="32">
      <c r="A74" s="7" t="s">
        <v>19</v>
      </c>
      <c r="B74" s="7" t="s">
        <v>24</v>
      </c>
      <c r="C74" s="7" t="s">
        <v>25</v>
      </c>
      <c r="D74" s="8" t="s">
        <v>19</v>
      </c>
      <c r="E74" s="8" t="s">
        <v>24</v>
      </c>
      <c r="F74" s="8" t="s">
        <v>25</v>
      </c>
      <c r="G74" s="8" t="s">
        <v>19</v>
      </c>
      <c r="H74" s="8" t="s">
        <v>24</v>
      </c>
      <c r="I74" s="8" t="s">
        <v>25</v>
      </c>
    </row>
    <row r="75" spans="1:9" ht="16">
      <c r="A75" s="11">
        <v>7.5</v>
      </c>
      <c r="B75" s="11">
        <v>7.5</v>
      </c>
      <c r="C75" s="11">
        <v>7.8</v>
      </c>
      <c r="D75" s="30">
        <v>6.4</v>
      </c>
      <c r="E75" s="11">
        <v>6.5</v>
      </c>
      <c r="F75" s="11">
        <v>6.7</v>
      </c>
      <c r="G75" s="30">
        <v>9</v>
      </c>
      <c r="H75" s="30">
        <v>8.9</v>
      </c>
      <c r="I75" s="11">
        <v>9.1999999999999993</v>
      </c>
    </row>
    <row r="77" spans="1:9" ht="17">
      <c r="A77" s="14" t="s">
        <v>112</v>
      </c>
    </row>
  </sheetData>
  <mergeCells count="9">
    <mergeCell ref="A73:C73"/>
    <mergeCell ref="D73:F73"/>
    <mergeCell ref="G73:I73"/>
    <mergeCell ref="A15:C15"/>
    <mergeCell ref="D15:F15"/>
    <mergeCell ref="G15:I15"/>
    <mergeCell ref="A44:C44"/>
    <mergeCell ref="D44:F44"/>
    <mergeCell ref="G44:I44"/>
  </mergeCells>
  <pageMargins left="0.7" right="0.7" top="0.75" bottom="0.75" header="0.3" footer="0.3"/>
  <pageSetup orientation="portrait" horizontalDpi="0" verticalDpi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92BBB-3CB1-4235-A0BD-F179C7B03A68}">
  <sheetPr>
    <tabColor theme="3" tint="0.89999084444715716"/>
  </sheetPr>
  <dimension ref="B2:U17"/>
  <sheetViews>
    <sheetView zoomScale="165" workbookViewId="0">
      <selection activeCell="C10" sqref="C10"/>
    </sheetView>
  </sheetViews>
  <sheetFormatPr baseColWidth="10" defaultColWidth="8.83203125" defaultRowHeight="15"/>
  <cols>
    <col min="2" max="2" width="17.83203125" customWidth="1"/>
    <col min="3" max="3" width="16" customWidth="1"/>
    <col min="4" max="4" width="15.5" customWidth="1"/>
    <col min="5" max="5" width="16.5" customWidth="1"/>
  </cols>
  <sheetData>
    <row r="2" spans="2:21">
      <c r="B2" s="47" t="s">
        <v>113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</row>
    <row r="3" spans="2:21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</row>
    <row r="4" spans="2:21">
      <c r="B4" s="42" t="s">
        <v>114</v>
      </c>
      <c r="C4" s="42"/>
      <c r="D4" s="42"/>
      <c r="E4" s="42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</row>
    <row r="5" spans="2:21" ht="25">
      <c r="B5" s="34" t="s">
        <v>33</v>
      </c>
      <c r="C5" s="34" t="s">
        <v>77</v>
      </c>
      <c r="D5" s="34" t="s">
        <v>2</v>
      </c>
      <c r="E5" s="36" t="s">
        <v>3</v>
      </c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</row>
    <row r="6" spans="2:21">
      <c r="B6" s="37" t="s">
        <v>115</v>
      </c>
      <c r="C6" s="37">
        <v>237</v>
      </c>
      <c r="D6" s="37">
        <v>4.8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</row>
    <row r="7" spans="2:21">
      <c r="B7" s="37" t="s">
        <v>116</v>
      </c>
      <c r="C7" s="37">
        <v>1418</v>
      </c>
      <c r="D7" s="37">
        <v>13.6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</row>
    <row r="8" spans="2:21">
      <c r="B8" s="37" t="s">
        <v>19</v>
      </c>
      <c r="C8" s="37">
        <v>512</v>
      </c>
      <c r="D8" s="37">
        <v>7.5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</row>
    <row r="9" spans="2:21">
      <c r="B9" s="37" t="s">
        <v>117</v>
      </c>
      <c r="C9" s="37">
        <v>1161</v>
      </c>
      <c r="D9" s="37">
        <v>5.5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</row>
    <row r="10" spans="2:21">
      <c r="B10" s="37" t="s">
        <v>22</v>
      </c>
      <c r="C10" s="37"/>
      <c r="D10" s="37">
        <v>7.8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</row>
    <row r="11" spans="2:21" ht="84" customHeight="1">
      <c r="B11" s="41" t="s">
        <v>107</v>
      </c>
      <c r="C11" s="41"/>
      <c r="D11" s="41"/>
      <c r="E11" s="41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</row>
    <row r="12" spans="2:21"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</row>
    <row r="13" spans="2:21">
      <c r="B13" s="42" t="s">
        <v>84</v>
      </c>
      <c r="C13" s="42"/>
      <c r="D13" s="42"/>
      <c r="E13" s="42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</row>
    <row r="14" spans="2:21">
      <c r="B14" s="34" t="s">
        <v>9</v>
      </c>
      <c r="C14" s="34" t="s">
        <v>10</v>
      </c>
      <c r="D14" s="34" t="s">
        <v>11</v>
      </c>
      <c r="E14" s="34" t="s">
        <v>12</v>
      </c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</row>
    <row r="15" spans="2:21">
      <c r="B15" s="37" t="s">
        <v>35</v>
      </c>
      <c r="C15" s="1">
        <v>0.87519173017983998</v>
      </c>
      <c r="D15" s="21">
        <v>5.2400000000000002E-2</v>
      </c>
      <c r="E15" s="22" t="s">
        <v>4</v>
      </c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</row>
    <row r="16" spans="2:21">
      <c r="B16" s="37" t="s">
        <v>36</v>
      </c>
      <c r="C16" s="1">
        <v>2.4890846493117298</v>
      </c>
      <c r="D16" s="2" t="s">
        <v>16</v>
      </c>
      <c r="E16" s="3">
        <v>148.908464931173</v>
      </c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</row>
    <row r="17" spans="2:21">
      <c r="B17" s="37" t="s">
        <v>37</v>
      </c>
      <c r="C17" s="1">
        <v>1.3660154974788401</v>
      </c>
      <c r="D17" s="2" t="s">
        <v>16</v>
      </c>
      <c r="E17" s="3">
        <v>36.601549747883602</v>
      </c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</row>
  </sheetData>
  <mergeCells count="4">
    <mergeCell ref="B2:U2"/>
    <mergeCell ref="B4:E4"/>
    <mergeCell ref="B11:E11"/>
    <mergeCell ref="B13:E1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328A5-3904-4E56-9F92-CF336B6924D6}">
  <sheetPr>
    <tabColor theme="3" tint="0.89999084444715716"/>
  </sheetPr>
  <dimension ref="A1:D57"/>
  <sheetViews>
    <sheetView topLeftCell="A51" workbookViewId="0"/>
  </sheetViews>
  <sheetFormatPr baseColWidth="10" defaultColWidth="8.83203125" defaultRowHeight="15"/>
  <cols>
    <col min="1" max="1" width="12.6640625" customWidth="1"/>
    <col min="2" max="2" width="11.1640625" customWidth="1"/>
    <col min="3" max="3" width="11.5" customWidth="1"/>
    <col min="4" max="4" width="12" customWidth="1"/>
  </cols>
  <sheetData>
    <row r="1" spans="1:4">
      <c r="A1" s="5" t="s">
        <v>38</v>
      </c>
    </row>
    <row r="5" spans="1:4">
      <c r="B5" t="s">
        <v>23</v>
      </c>
      <c r="C5" t="s">
        <v>49</v>
      </c>
      <c r="D5" t="s">
        <v>22</v>
      </c>
    </row>
    <row r="6" spans="1:4">
      <c r="B6">
        <v>4.8</v>
      </c>
      <c r="C6">
        <v>5.5</v>
      </c>
      <c r="D6">
        <v>7.8</v>
      </c>
    </row>
    <row r="8" spans="1:4" ht="17">
      <c r="A8" s="4" t="s">
        <v>118</v>
      </c>
    </row>
    <row r="30" spans="2:4">
      <c r="B30" t="s">
        <v>28</v>
      </c>
      <c r="C30" t="s">
        <v>49</v>
      </c>
      <c r="D30" t="s">
        <v>22</v>
      </c>
    </row>
    <row r="31" spans="2:4">
      <c r="B31" s="31">
        <v>13.6</v>
      </c>
      <c r="C31">
        <v>5.5</v>
      </c>
      <c r="D31">
        <v>7.8</v>
      </c>
    </row>
    <row r="33" spans="1:1" ht="17">
      <c r="A33" s="4" t="s">
        <v>119</v>
      </c>
    </row>
    <row r="55" spans="1:4">
      <c r="B55" t="s">
        <v>19</v>
      </c>
      <c r="C55" t="s">
        <v>49</v>
      </c>
      <c r="D55" t="s">
        <v>22</v>
      </c>
    </row>
    <row r="56" spans="1:4">
      <c r="B56" s="31">
        <v>7.5</v>
      </c>
      <c r="C56">
        <v>5.5</v>
      </c>
      <c r="D56">
        <v>7.8</v>
      </c>
    </row>
    <row r="57" spans="1:4" ht="17">
      <c r="A57" s="4" t="s">
        <v>120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B3FED-5C93-EA46-AE71-20337C687E3F}">
  <sheetPr>
    <tabColor theme="3" tint="0.89999084444715716"/>
  </sheetPr>
  <dimension ref="B2:U17"/>
  <sheetViews>
    <sheetView zoomScale="165" workbookViewId="0">
      <selection activeCell="C10" sqref="C10"/>
    </sheetView>
  </sheetViews>
  <sheetFormatPr baseColWidth="10" defaultColWidth="8.83203125" defaultRowHeight="15"/>
  <cols>
    <col min="2" max="2" width="17.83203125" customWidth="1"/>
    <col min="3" max="3" width="16" customWidth="1"/>
    <col min="4" max="4" width="15.5" customWidth="1"/>
    <col min="5" max="5" width="16.5" customWidth="1"/>
  </cols>
  <sheetData>
    <row r="2" spans="2:21">
      <c r="B2" s="47" t="s">
        <v>113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</row>
    <row r="3" spans="2:21"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</row>
    <row r="4" spans="2:21">
      <c r="B4" s="42" t="s">
        <v>114</v>
      </c>
      <c r="C4" s="42"/>
      <c r="D4" s="42"/>
      <c r="E4" s="42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</row>
    <row r="5" spans="2:21" ht="25">
      <c r="B5" s="34" t="s">
        <v>33</v>
      </c>
      <c r="C5" s="34" t="s">
        <v>77</v>
      </c>
      <c r="D5" s="34" t="s">
        <v>2</v>
      </c>
      <c r="E5" s="36" t="s">
        <v>3</v>
      </c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</row>
    <row r="6" spans="2:21">
      <c r="B6" s="37" t="s">
        <v>115</v>
      </c>
      <c r="C6" s="37">
        <v>237</v>
      </c>
      <c r="D6" s="37">
        <v>4.8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</row>
    <row r="7" spans="2:21">
      <c r="B7" s="37" t="s">
        <v>116</v>
      </c>
      <c r="C7" s="37">
        <v>1418</v>
      </c>
      <c r="D7" s="37">
        <v>13.6</v>
      </c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</row>
    <row r="8" spans="2:21">
      <c r="B8" s="37" t="s">
        <v>19</v>
      </c>
      <c r="C8" s="37">
        <v>512</v>
      </c>
      <c r="D8" s="37">
        <v>7.5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</row>
    <row r="9" spans="2:21">
      <c r="B9" s="37" t="s">
        <v>117</v>
      </c>
      <c r="C9" s="37">
        <v>1161</v>
      </c>
      <c r="D9" s="37">
        <v>5.5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</row>
    <row r="10" spans="2:21">
      <c r="B10" s="37" t="s">
        <v>22</v>
      </c>
      <c r="C10" s="37"/>
      <c r="D10" s="37">
        <v>7.8</v>
      </c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</row>
    <row r="11" spans="2:21" ht="84" customHeight="1">
      <c r="B11" s="41" t="s">
        <v>107</v>
      </c>
      <c r="C11" s="41"/>
      <c r="D11" s="41"/>
      <c r="E11" s="41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</row>
    <row r="12" spans="2:21"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</row>
    <row r="13" spans="2:21">
      <c r="B13" s="42" t="s">
        <v>84</v>
      </c>
      <c r="C13" s="42"/>
      <c r="D13" s="42"/>
      <c r="E13" s="42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</row>
    <row r="14" spans="2:21">
      <c r="B14" s="34" t="s">
        <v>9</v>
      </c>
      <c r="C14" s="34" t="s">
        <v>10</v>
      </c>
      <c r="D14" s="34" t="s">
        <v>11</v>
      </c>
      <c r="E14" s="34" t="s">
        <v>12</v>
      </c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</row>
    <row r="15" spans="2:21">
      <c r="B15" s="37" t="s">
        <v>35</v>
      </c>
      <c r="C15" s="1">
        <v>0.87519173017983998</v>
      </c>
      <c r="D15" s="21">
        <v>5.2400000000000002E-2</v>
      </c>
      <c r="E15" s="22" t="s">
        <v>4</v>
      </c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</row>
    <row r="16" spans="2:21">
      <c r="B16" s="37" t="s">
        <v>36</v>
      </c>
      <c r="C16" s="1">
        <v>2.4890846493117298</v>
      </c>
      <c r="D16" s="2" t="s">
        <v>16</v>
      </c>
      <c r="E16" s="3">
        <v>148.908464931173</v>
      </c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</row>
    <row r="17" spans="2:21">
      <c r="B17" s="37" t="s">
        <v>37</v>
      </c>
      <c r="C17" s="1">
        <v>1.3660154974788401</v>
      </c>
      <c r="D17" s="2" t="s">
        <v>16</v>
      </c>
      <c r="E17" s="3">
        <v>36.601549747883602</v>
      </c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</row>
  </sheetData>
  <mergeCells count="4">
    <mergeCell ref="B2:U2"/>
    <mergeCell ref="B4:E4"/>
    <mergeCell ref="B11:E11"/>
    <mergeCell ref="B13:E1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678F8-1904-48C0-A68B-5FD5D24C9F9F}">
  <sheetPr>
    <tabColor theme="3" tint="0.89999084444715716"/>
  </sheetPr>
  <dimension ref="A1:E15"/>
  <sheetViews>
    <sheetView zoomScale="160" workbookViewId="0">
      <selection activeCell="O44" sqref="O44"/>
    </sheetView>
  </sheetViews>
  <sheetFormatPr baseColWidth="10" defaultColWidth="8.83203125" defaultRowHeight="15"/>
  <sheetData>
    <row r="1" spans="1:5">
      <c r="A1" s="5" t="s">
        <v>53</v>
      </c>
    </row>
    <row r="2" spans="1:5">
      <c r="A2" s="19" t="s">
        <v>54</v>
      </c>
    </row>
    <row r="3" spans="1:5">
      <c r="A3" s="19" t="s">
        <v>55</v>
      </c>
    </row>
    <row r="4" spans="1:5">
      <c r="A4" s="19" t="s">
        <v>43</v>
      </c>
    </row>
    <row r="5" spans="1:5">
      <c r="A5" s="19" t="s">
        <v>42</v>
      </c>
    </row>
    <row r="6" spans="1:5">
      <c r="A6" s="19" t="s">
        <v>44</v>
      </c>
    </row>
    <row r="7" spans="1:5">
      <c r="A7" s="19" t="s">
        <v>45</v>
      </c>
    </row>
    <row r="8" spans="1:5">
      <c r="A8" s="19" t="s">
        <v>46</v>
      </c>
    </row>
    <row r="9" spans="1:5">
      <c r="A9" s="19" t="s">
        <v>47</v>
      </c>
    </row>
    <row r="10" spans="1:5">
      <c r="A10" s="19" t="s">
        <v>48</v>
      </c>
    </row>
    <row r="12" spans="1:5">
      <c r="A12" s="32" t="s">
        <v>23</v>
      </c>
      <c r="B12" t="s">
        <v>28</v>
      </c>
      <c r="C12" t="s">
        <v>19</v>
      </c>
      <c r="D12" t="s">
        <v>49</v>
      </c>
      <c r="E12" t="s">
        <v>22</v>
      </c>
    </row>
    <row r="13" spans="1:5">
      <c r="A13">
        <v>4.8</v>
      </c>
      <c r="B13">
        <v>13.6</v>
      </c>
      <c r="C13">
        <v>7.5</v>
      </c>
      <c r="D13">
        <v>5.5</v>
      </c>
      <c r="E13">
        <v>7.8</v>
      </c>
    </row>
    <row r="15" spans="1:5" ht="17">
      <c r="A15" s="4" t="s">
        <v>121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61CF8-928F-4F4D-8435-1DEFA4DC72B5}">
  <sheetPr>
    <tabColor theme="3" tint="0.89999084444715716"/>
  </sheetPr>
  <dimension ref="B3:U36"/>
  <sheetViews>
    <sheetView topLeftCell="A10" workbookViewId="0"/>
  </sheetViews>
  <sheetFormatPr baseColWidth="10" defaultColWidth="8.83203125" defaultRowHeight="15"/>
  <cols>
    <col min="2" max="2" width="18.1640625" customWidth="1"/>
    <col min="3" max="3" width="17.33203125" customWidth="1"/>
    <col min="4" max="4" width="16.83203125" customWidth="1"/>
    <col min="5" max="5" width="23.5" customWidth="1"/>
    <col min="6" max="6" width="22.5" customWidth="1"/>
  </cols>
  <sheetData>
    <row r="3" spans="2:21">
      <c r="B3" s="47" t="s">
        <v>79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</row>
    <row r="4" spans="2:21"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</row>
    <row r="5" spans="2:21">
      <c r="B5" s="42" t="s">
        <v>80</v>
      </c>
      <c r="C5" s="42"/>
      <c r="D5" s="42"/>
      <c r="E5" s="42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</row>
    <row r="6" spans="2:21" ht="25">
      <c r="B6" s="34" t="s">
        <v>17</v>
      </c>
      <c r="C6" s="34" t="s">
        <v>77</v>
      </c>
      <c r="D6" s="34" t="s">
        <v>2</v>
      </c>
      <c r="E6" s="36" t="s">
        <v>3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</row>
    <row r="7" spans="2:21">
      <c r="B7" s="37" t="s">
        <v>18</v>
      </c>
      <c r="C7" s="37">
        <v>1723</v>
      </c>
      <c r="D7" s="37">
        <v>6.7</v>
      </c>
      <c r="E7" s="37" t="s">
        <v>81</v>
      </c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</row>
    <row r="8" spans="2:21">
      <c r="B8" s="37" t="s">
        <v>20</v>
      </c>
      <c r="C8" s="37">
        <v>1834</v>
      </c>
      <c r="D8" s="37">
        <v>9.1999999999999993</v>
      </c>
      <c r="E8" s="37" t="s">
        <v>82</v>
      </c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</row>
    <row r="9" spans="2:21">
      <c r="B9" s="41" t="s">
        <v>83</v>
      </c>
      <c r="C9" s="41"/>
      <c r="D9" s="41"/>
      <c r="E9" s="41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</row>
    <row r="10" spans="2:21"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</row>
    <row r="11" spans="2:21">
      <c r="B11" s="42" t="s">
        <v>84</v>
      </c>
      <c r="C11" s="42"/>
      <c r="D11" s="42"/>
      <c r="E11" s="42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</row>
    <row r="12" spans="2:21">
      <c r="B12" s="34" t="s">
        <v>9</v>
      </c>
      <c r="C12" s="34" t="s">
        <v>10</v>
      </c>
      <c r="D12" s="34" t="s">
        <v>11</v>
      </c>
      <c r="E12" s="34" t="s">
        <v>12</v>
      </c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</row>
    <row r="13" spans="2:21">
      <c r="B13" s="37" t="s">
        <v>61</v>
      </c>
      <c r="C13" s="1">
        <v>0.72984842768869995</v>
      </c>
      <c r="D13" s="2" t="s">
        <v>16</v>
      </c>
      <c r="E13" s="3">
        <v>-27.015157231130001</v>
      </c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</row>
    <row r="15" spans="2:21">
      <c r="B15" s="47" t="s">
        <v>122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</row>
    <row r="16" spans="2:21"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</row>
    <row r="17" spans="2:21">
      <c r="B17" s="42" t="s">
        <v>123</v>
      </c>
      <c r="C17" s="42"/>
      <c r="D17" s="42"/>
      <c r="E17" s="42"/>
      <c r="F17" s="42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</row>
    <row r="18" spans="2:21">
      <c r="B18" s="34" t="s">
        <v>17</v>
      </c>
      <c r="C18" s="34" t="s">
        <v>33</v>
      </c>
      <c r="D18" s="34" t="s">
        <v>77</v>
      </c>
      <c r="E18" s="34" t="s">
        <v>2</v>
      </c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</row>
    <row r="19" spans="2:21">
      <c r="B19" s="37" t="s">
        <v>18</v>
      </c>
      <c r="C19" s="37" t="s">
        <v>115</v>
      </c>
      <c r="D19" s="37">
        <v>113</v>
      </c>
      <c r="E19" s="37">
        <v>4</v>
      </c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spans="2:21">
      <c r="B20" s="37" t="s">
        <v>18</v>
      </c>
      <c r="C20" s="37" t="s">
        <v>116</v>
      </c>
      <c r="D20" s="37">
        <v>729</v>
      </c>
      <c r="E20" s="37">
        <v>12</v>
      </c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spans="2:21">
      <c r="B21" s="37" t="s">
        <v>18</v>
      </c>
      <c r="C21" s="37" t="s">
        <v>19</v>
      </c>
      <c r="D21" s="37">
        <v>259</v>
      </c>
      <c r="E21" s="37">
        <v>6.4</v>
      </c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spans="2:21">
      <c r="B22" s="37" t="s">
        <v>18</v>
      </c>
      <c r="C22" s="37" t="s">
        <v>117</v>
      </c>
      <c r="D22" s="37">
        <v>520</v>
      </c>
      <c r="E22" s="37">
        <v>4.5</v>
      </c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spans="2:21">
      <c r="B23" s="37" t="s">
        <v>20</v>
      </c>
      <c r="C23" s="37" t="s">
        <v>115</v>
      </c>
      <c r="D23" s="37">
        <v>124</v>
      </c>
      <c r="E23" s="37">
        <v>5.9</v>
      </c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</row>
    <row r="24" spans="2:21">
      <c r="B24" s="37" t="s">
        <v>20</v>
      </c>
      <c r="C24" s="37" t="s">
        <v>116</v>
      </c>
      <c r="D24" s="37">
        <v>689</v>
      </c>
      <c r="E24" s="37">
        <v>15.9</v>
      </c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</row>
    <row r="25" spans="2:21">
      <c r="B25" s="37" t="s">
        <v>20</v>
      </c>
      <c r="C25" s="37" t="s">
        <v>19</v>
      </c>
      <c r="D25" s="37">
        <v>253</v>
      </c>
      <c r="E25" s="37">
        <v>9</v>
      </c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</row>
    <row r="26" spans="2:21">
      <c r="B26" s="37" t="s">
        <v>20</v>
      </c>
      <c r="C26" s="37" t="s">
        <v>117</v>
      </c>
      <c r="D26" s="37">
        <v>641</v>
      </c>
      <c r="E26" s="37">
        <v>6.5</v>
      </c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</row>
    <row r="27" spans="2:21" ht="100.5" customHeight="1">
      <c r="B27" s="41" t="s">
        <v>107</v>
      </c>
      <c r="C27" s="41"/>
      <c r="D27" s="41"/>
      <c r="E27" s="41"/>
      <c r="F27" s="41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</row>
    <row r="28" spans="2:21"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</row>
    <row r="29" spans="2:21">
      <c r="B29" s="42" t="s">
        <v>84</v>
      </c>
      <c r="C29" s="42"/>
      <c r="D29" s="42"/>
      <c r="E29" s="42"/>
      <c r="F29" s="42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</row>
    <row r="30" spans="2:21">
      <c r="B30" s="34" t="s">
        <v>17</v>
      </c>
      <c r="C30" s="34" t="s">
        <v>9</v>
      </c>
      <c r="D30" s="34" t="s">
        <v>10</v>
      </c>
      <c r="E30" s="34" t="s">
        <v>11</v>
      </c>
      <c r="F30" s="34" t="s">
        <v>12</v>
      </c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</row>
    <row r="31" spans="2:21">
      <c r="B31" s="37" t="s">
        <v>18</v>
      </c>
      <c r="C31" s="37" t="s">
        <v>35</v>
      </c>
      <c r="D31" s="1">
        <v>0.88734019406348996</v>
      </c>
      <c r="E31" s="21">
        <v>0.25059999999999999</v>
      </c>
      <c r="F31" s="22" t="s">
        <v>4</v>
      </c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</row>
    <row r="32" spans="2:21">
      <c r="B32" s="37" t="s">
        <v>18</v>
      </c>
      <c r="C32" s="37" t="s">
        <v>36</v>
      </c>
      <c r="D32" s="1">
        <v>2.6613442235099498</v>
      </c>
      <c r="E32" s="2" t="s">
        <v>16</v>
      </c>
      <c r="F32" s="3">
        <v>166.13442235099501</v>
      </c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</row>
    <row r="33" spans="2:21">
      <c r="B33" s="37" t="s">
        <v>18</v>
      </c>
      <c r="C33" s="37" t="s">
        <v>37</v>
      </c>
      <c r="D33" s="1">
        <v>1.42610749556635</v>
      </c>
      <c r="E33" s="2" t="s">
        <v>16</v>
      </c>
      <c r="F33" s="3">
        <v>42.610749556635497</v>
      </c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</row>
    <row r="34" spans="2:21">
      <c r="B34" s="37" t="s">
        <v>20</v>
      </c>
      <c r="C34" s="37" t="s">
        <v>35</v>
      </c>
      <c r="D34" s="1">
        <v>0.89491733322137001</v>
      </c>
      <c r="E34" s="21">
        <v>0.21820000000000001</v>
      </c>
      <c r="F34" s="22" t="s">
        <v>4</v>
      </c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</row>
    <row r="35" spans="2:21">
      <c r="B35" s="37" t="s">
        <v>20</v>
      </c>
      <c r="C35" s="37" t="s">
        <v>36</v>
      </c>
      <c r="D35" s="1">
        <v>2.4233510718911999</v>
      </c>
      <c r="E35" s="2" t="s">
        <v>16</v>
      </c>
      <c r="F35" s="3">
        <v>142.33510718912001</v>
      </c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</row>
    <row r="36" spans="2:21">
      <c r="B36" s="37" t="s">
        <v>20</v>
      </c>
      <c r="C36" s="37" t="s">
        <v>37</v>
      </c>
      <c r="D36" s="1">
        <v>1.3801504569302001</v>
      </c>
      <c r="E36" s="2" t="s">
        <v>16</v>
      </c>
      <c r="F36" s="3">
        <v>38.015045693019601</v>
      </c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</row>
  </sheetData>
  <mergeCells count="8">
    <mergeCell ref="B27:F27"/>
    <mergeCell ref="B29:F29"/>
    <mergeCell ref="B3:U3"/>
    <mergeCell ref="B5:E5"/>
    <mergeCell ref="B9:E9"/>
    <mergeCell ref="B11:E11"/>
    <mergeCell ref="B15:U15"/>
    <mergeCell ref="B17:F1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6485-85A0-48AE-8761-0651525B1E80}">
  <sheetPr>
    <tabColor theme="3" tint="0.89999084444715716"/>
  </sheetPr>
  <dimension ref="A1:K10"/>
  <sheetViews>
    <sheetView tabSelected="1" workbookViewId="0">
      <selection activeCell="AI50" sqref="AI50"/>
    </sheetView>
  </sheetViews>
  <sheetFormatPr baseColWidth="10" defaultColWidth="8.83203125" defaultRowHeight="15"/>
  <cols>
    <col min="1" max="1" width="12.83203125" customWidth="1"/>
    <col min="2" max="3" width="12" customWidth="1"/>
    <col min="4" max="4" width="12.5" customWidth="1"/>
  </cols>
  <sheetData>
    <row r="1" spans="1:11">
      <c r="A1" s="5" t="s">
        <v>72</v>
      </c>
    </row>
    <row r="5" spans="1:11">
      <c r="B5" s="46" t="s">
        <v>18</v>
      </c>
      <c r="C5" s="46"/>
      <c r="D5" s="46"/>
      <c r="E5" s="46"/>
      <c r="F5" s="46"/>
      <c r="G5" s="46" t="s">
        <v>20</v>
      </c>
      <c r="H5" s="46"/>
      <c r="I5" s="46"/>
      <c r="J5" s="46"/>
      <c r="K5" s="46"/>
    </row>
    <row r="6" spans="1:11">
      <c r="B6" t="s">
        <v>23</v>
      </c>
      <c r="C6" t="s">
        <v>28</v>
      </c>
      <c r="D6" t="s">
        <v>19</v>
      </c>
      <c r="E6" t="s">
        <v>49</v>
      </c>
      <c r="F6" t="s">
        <v>22</v>
      </c>
      <c r="G6" t="s">
        <v>23</v>
      </c>
      <c r="H6" t="s">
        <v>28</v>
      </c>
      <c r="I6" t="s">
        <v>19</v>
      </c>
      <c r="J6" t="s">
        <v>49</v>
      </c>
      <c r="K6" t="s">
        <v>22</v>
      </c>
    </row>
    <row r="7" spans="1:11">
      <c r="B7" s="25">
        <v>4</v>
      </c>
      <c r="C7" s="33">
        <v>12</v>
      </c>
      <c r="D7" s="33">
        <v>6.4</v>
      </c>
      <c r="E7" s="25">
        <v>4.5</v>
      </c>
      <c r="F7" s="25">
        <v>6.7</v>
      </c>
      <c r="G7" s="25">
        <v>5.9</v>
      </c>
      <c r="H7" s="33">
        <v>15.9</v>
      </c>
      <c r="I7" s="33">
        <v>9</v>
      </c>
      <c r="J7" s="25">
        <v>6.5</v>
      </c>
      <c r="K7" s="25">
        <v>9.1999999999999993</v>
      </c>
    </row>
    <row r="10" spans="1:11" ht="17">
      <c r="B10" s="4" t="s">
        <v>124</v>
      </c>
    </row>
  </sheetData>
  <mergeCells count="2">
    <mergeCell ref="B5:F5"/>
    <mergeCell ref="G5:K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INPUT-1</vt:lpstr>
      <vt:lpstr>OUTPUT-1</vt:lpstr>
      <vt:lpstr>INPUT-2</vt:lpstr>
      <vt:lpstr>OUTPUT-2</vt:lpstr>
      <vt:lpstr>INPUT-3</vt:lpstr>
      <vt:lpstr>OUTPUT-3</vt:lpstr>
      <vt:lpstr>INPUT-4</vt:lpstr>
      <vt:lpstr>OUTPUT-4</vt:lpstr>
      <vt:lpstr>INPUT-5</vt:lpstr>
      <vt:lpstr>OUTPUT-5</vt:lpstr>
      <vt:lpstr>INPUT-6</vt:lpstr>
      <vt:lpstr>OUTPUT-6</vt:lpstr>
      <vt:lpstr>INPUT-7</vt:lpstr>
      <vt:lpstr>OUTPUT-7</vt:lpstr>
      <vt:lpstr>INPUT-8</vt:lpstr>
      <vt:lpstr>OUTPUT-8</vt:lpstr>
    </vt:vector>
  </TitlesOfParts>
  <Manager/>
  <Company>Boston Public Health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Hansen, Julia</dc:creator>
  <cp:keywords/>
  <dc:description/>
  <cp:lastModifiedBy>Lorenzo Tiraboschi</cp:lastModifiedBy>
  <cp:revision/>
  <dcterms:created xsi:type="dcterms:W3CDTF">2026-02-27T14:13:23Z</dcterms:created>
  <dcterms:modified xsi:type="dcterms:W3CDTF">2026-03-29T01:17:26Z</dcterms:modified>
  <cp:category/>
  <cp:contentStatus/>
</cp:coreProperties>
</file>