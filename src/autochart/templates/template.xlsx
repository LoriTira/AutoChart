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940" yWindow="-28200" windowWidth="68800" windowHeight="26900" tabRatio="600" firstSheet="0" autoFilterDateGrouping="1"/>
  </bookViews>
  <sheets>
    <sheet name="OUTPUT-1" sheetId="1" state="visible" r:id="rId1"/>
    <sheet name="OUTPUT-3" sheetId="2" state="visible" r:id="rId2"/>
    <sheet name="OUTPUT-4" sheetId="3" state="visible" r:id="rId3"/>
    <sheet name="OUTPUT-6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####0.00"/>
    <numFmt numFmtId="165" formatCode="0.0000"/>
    <numFmt numFmtId="166" formatCode="#####0.0"/>
    <numFmt numFmtId="167" formatCode="0.0"/>
    <numFmt numFmtId="168" formatCode="#######0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lbany AMT"/>
      <b val="1"/>
      <color rgb="FF000000"/>
      <sz val="11"/>
    </font>
    <font>
      <name val="Albany AMT"/>
      <b val="1"/>
      <color rgb="FF000000"/>
      <sz val="8"/>
    </font>
    <font>
      <name val="Calibri"/>
      <family val="2"/>
      <b val="1"/>
      <sz val="11"/>
    </font>
    <font>
      <name val="Calibri"/>
      <family val="2"/>
      <sz val="11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Calibri"/>
      <family val="2"/>
      <color rgb="FF000000"/>
      <sz val="12"/>
    </font>
    <font>
      <name val="Aptos Narrow"/>
      <family val="2"/>
      <b val="1"/>
      <color rgb="FF000000"/>
      <sz val="11"/>
      <vertAlign val="superscript"/>
      <scheme val="minor"/>
    </font>
    <font>
      <name val="Calibri"/>
      <family val="2"/>
      <color rgb="FF000000"/>
      <sz val="12"/>
    </font>
    <font>
      <name val="Aptos Narrow"/>
      <family val="2"/>
      <b val="1"/>
      <color theme="1"/>
      <sz val="11"/>
      <vertAlign val="superscript"/>
      <scheme val="minor"/>
    </font>
    <font>
      <name val="Montserrat"/>
      <color theme="1"/>
      <sz val="11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0" fontId="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4" borderId="4" applyAlignment="1" pivotButton="0" quotePrefix="0" xfId="0">
      <alignment horizontal="center" wrapText="1"/>
    </xf>
    <xf numFmtId="0" fontId="7" fillId="4" borderId="5" applyAlignment="1" pivotButton="0" quotePrefix="0" xfId="0">
      <alignment horizontal="center" wrapText="1"/>
    </xf>
    <xf numFmtId="0" fontId="6" fillId="0" borderId="5" pivotButton="0" quotePrefix="0" xfId="0"/>
    <xf numFmtId="0" fontId="8" fillId="5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6" borderId="0" pivotButton="0" quotePrefix="0" xfId="0"/>
    <xf numFmtId="0" fontId="7" fillId="0" borderId="0" pivotButton="0" quotePrefix="0" xfId="0"/>
    <xf numFmtId="0" fontId="10" fillId="5" borderId="6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167" fontId="10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2" fillId="0" borderId="0" pivotButton="0" quotePrefix="0" xfId="0"/>
    <xf numFmtId="165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right"/>
    </xf>
    <xf numFmtId="0" fontId="0" fillId="7" borderId="0" pivotButton="0" quotePrefix="0" xfId="0"/>
    <xf numFmtId="167" fontId="0" fillId="7" borderId="0" pivotButton="0" quotePrefix="0" xfId="0"/>
    <xf numFmtId="167" fontId="0" fillId="0" borderId="0" pivotButton="0" quotePrefix="0" xfId="0"/>
    <xf numFmtId="0" fontId="10" fillId="8" borderId="6" applyAlignment="1" pivotButton="0" quotePrefix="0" xfId="0">
      <alignment horizontal="center"/>
    </xf>
    <xf numFmtId="167" fontId="10" fillId="8" borderId="6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167" fontId="8" fillId="8" borderId="6" applyAlignment="1" pivotButton="0" quotePrefix="0" xfId="0">
      <alignment horizontal="center"/>
    </xf>
    <xf numFmtId="167" fontId="8" fillId="0" borderId="6" applyAlignment="1" pivotButton="0" quotePrefix="0" xfId="0">
      <alignment horizontal="center"/>
    </xf>
    <xf numFmtId="0" fontId="0" fillId="8" borderId="0" pivotButton="0" quotePrefix="0" xfId="0"/>
    <xf numFmtId="0" fontId="13" fillId="0" borderId="0" applyAlignment="1" pivotButton="0" quotePrefix="0" xfId="0">
      <alignment horizontal="left" vertical="center"/>
    </xf>
    <xf numFmtId="167" fontId="0" fillId="8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3" applyAlignment="1" pivotButton="0" quotePrefix="0" xfId="0">
      <alignment horizontal="center"/>
    </xf>
    <xf numFmtId="0" fontId="0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7" fillId="4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'OUTPUT-1'!$A$5</f>
              <strCache>
                <ptCount val="1"/>
                <pt idx="0">
                  <v>All Cancer Mortality</v>
                </pt>
              </strCache>
            </strRef>
          </tx>
          <spPr>
            <a:solidFill>
              <a:srgbClr val="92D050"/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Asian</v>
                  </pt>
                  <pt idx="1">
                    <v>Rest of Boston</v>
                  </pt>
                  <pt idx="2">
                    <v>Boston Overall</v>
                  </pt>
                  <pt idx="3">
                    <v>Asian</v>
                  </pt>
                  <pt idx="4">
                    <v>Rest of Boston</v>
                  </pt>
                  <pt idx="5">
                    <v>Boston Overall</v>
                  </pt>
                  <pt idx="6">
                    <v>Asian</v>
                  </pt>
                  <pt idx="7">
                    <v>Rest of Boston</v>
                  </pt>
                  <pt idx="8">
                    <v>Boston Overall</v>
                  </pt>
                </lvl>
                <lvl>
                  <pt idx="0">
                    <v>Boston</v>
                  </pt>
                  <pt idx="3">
                    <v>Female</v>
                  </pt>
                  <pt idx="6">
                    <v>Male</v>
                  </pt>
                </lvl>
              </multiLvlStrCache>
              <f>'OUTPUT-1'!$B$3:$J$4</f>
            </multiLvlStrRef>
          </cat>
          <val>
            <numRef>
              <f>'OUTPUT-1'!$B$5:$J$5</f>
              <numCache>
                <formatCode>General</formatCode>
                <ptCount val="9"/>
                <pt idx="0">
                  <v>110.5</v>
                </pt>
                <pt idx="1">
                  <v>130.6</v>
                </pt>
                <pt idx="2">
                  <v>128.8</v>
                </pt>
                <pt idx="3">
                  <v>87.90000000000001</v>
                </pt>
                <pt idx="4">
                  <v>113.5</v>
                </pt>
                <pt idx="5">
                  <v>111.1</v>
                </pt>
                <pt idx="6">
                  <v>141.2</v>
                </pt>
                <pt idx="7">
                  <v>156.1</v>
                </pt>
                <pt idx="8">
                  <v>154.9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177255616"/>
        <axId val="1177250216"/>
      </barChart>
      <catAx>
        <axId val="1177255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77250216"/>
        <crosses val="autoZero"/>
        <auto val="1"/>
        <lblAlgn val="ctr"/>
        <lblOffset val="100"/>
        <noMultiLvlLbl val="0"/>
      </catAx>
      <valAx>
        <axId val="117725021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 w="3175"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772556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'OUTPUT-1'!$A$35</f>
              <strCache>
                <ptCount val="1"/>
                <pt idx="0">
                  <v>All Cancer Mortality</v>
                </pt>
              </strCache>
            </strRef>
          </tx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Black</v>
                  </pt>
                  <pt idx="1">
                    <v>Rest of Boston</v>
                  </pt>
                  <pt idx="2">
                    <v>Boston Overall</v>
                  </pt>
                  <pt idx="3">
                    <v>Black</v>
                  </pt>
                  <pt idx="4">
                    <v>Rest of Boston</v>
                  </pt>
                  <pt idx="5">
                    <v>Boston Overall</v>
                  </pt>
                  <pt idx="6">
                    <v>Black</v>
                  </pt>
                  <pt idx="7">
                    <v>Rest of Boston</v>
                  </pt>
                  <pt idx="8">
                    <v>Boston Overall</v>
                  </pt>
                </lvl>
                <lvl>
                  <pt idx="0">
                    <v>Boston</v>
                  </pt>
                  <pt idx="3">
                    <v>Female</v>
                  </pt>
                  <pt idx="6">
                    <v>Male</v>
                  </pt>
                </lvl>
              </multiLvlStrCache>
              <f>'OUTPUT-1'!$B$33:$J$34</f>
            </multiLvlStrRef>
          </cat>
          <val>
            <numRef>
              <f>'OUTPUT-1'!$B$35:$J$35</f>
              <numCache>
                <formatCode>General</formatCode>
                <ptCount val="9"/>
                <pt idx="0">
                  <v>160.4</v>
                </pt>
                <pt idx="1">
                  <v>118.3</v>
                </pt>
                <pt idx="2">
                  <v>128.8</v>
                </pt>
                <pt idx="3">
                  <v>136.1</v>
                </pt>
                <pt idx="4">
                  <v>102.1</v>
                </pt>
                <pt idx="5">
                  <v>111.1</v>
                </pt>
                <pt idx="6">
                  <v>200.5</v>
                </pt>
                <pt idx="7">
                  <v>141.5</v>
                </pt>
                <pt idx="8">
                  <v>154.9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177255616"/>
        <axId val="1177250216"/>
      </barChart>
      <catAx>
        <axId val="1177255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77250216"/>
        <crosses val="autoZero"/>
        <auto val="1"/>
        <lblAlgn val="ctr"/>
        <lblOffset val="100"/>
        <noMultiLvlLbl val="0"/>
      </catAx>
      <valAx>
        <axId val="117725021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772556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'OUTPUT-1'!$A$63</f>
              <strCache>
                <ptCount val="1"/>
                <pt idx="0">
                  <v>All Cancer Mortality</v>
                </pt>
              </strCache>
            </strRef>
          </tx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Latinx</v>
                  </pt>
                  <pt idx="1">
                    <v>Rest of Boston</v>
                  </pt>
                  <pt idx="2">
                    <v>Boston Overall</v>
                  </pt>
                  <pt idx="3">
                    <v>Latinx</v>
                  </pt>
                  <pt idx="4">
                    <v>Rest of Boston</v>
                  </pt>
                  <pt idx="5">
                    <v>Boston Overall</v>
                  </pt>
                  <pt idx="6">
                    <v>Latinx</v>
                  </pt>
                  <pt idx="7">
                    <v>Rest of Boston</v>
                  </pt>
                  <pt idx="8">
                    <v>Boston Overall</v>
                  </pt>
                </lvl>
                <lvl>
                  <pt idx="0">
                    <v>Boston</v>
                  </pt>
                  <pt idx="3">
                    <v>Female</v>
                  </pt>
                  <pt idx="6">
                    <v>Male</v>
                  </pt>
                </lvl>
              </multiLvlStrCache>
              <f>'OUTPUT-1'!$B$61:$J$62</f>
            </multiLvlStrRef>
          </cat>
          <val>
            <numRef>
              <f>'OUTPUT-1'!$B$63:$J$63</f>
              <numCache>
                <formatCode>0.0</formatCode>
                <ptCount val="9"/>
                <pt idx="0">
                  <formatCode>General</formatCode>
                  <v>86.59999999999999</v>
                </pt>
                <pt idx="1">
                  <v>135</v>
                </pt>
                <pt idx="2">
                  <formatCode>General</formatCode>
                  <v>128.8</v>
                </pt>
                <pt idx="3">
                  <formatCode>General</formatCode>
                  <v>68.59999999999999</v>
                </pt>
                <pt idx="4">
                  <formatCode>General</formatCode>
                  <v>118.5</v>
                </pt>
                <pt idx="5">
                  <formatCode>General</formatCode>
                  <v>111.1</v>
                </pt>
                <pt idx="6">
                  <formatCode>General</formatCode>
                  <v>117.2</v>
                </pt>
                <pt idx="7">
                  <formatCode>General</formatCode>
                  <v>159.3</v>
                </pt>
                <pt idx="8">
                  <formatCode>General</formatCode>
                  <v>154.9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177255616"/>
        <axId val="1177250216"/>
      </barChart>
      <catAx>
        <axId val="1177255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77250216"/>
        <crosses val="autoZero"/>
        <auto val="1"/>
        <lblAlgn val="ctr"/>
        <lblOffset val="100"/>
        <noMultiLvlLbl val="0"/>
      </catAx>
      <valAx>
        <axId val="117725021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772556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3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'OUTPUT-3'!$A$13:$E$13</f>
              <strCache>
                <ptCount val="5"/>
                <pt idx="0">
                  <v>Asian</v>
                </pt>
                <pt idx="1">
                  <v>Black</v>
                </pt>
                <pt idx="2">
                  <v>Latinx</v>
                </pt>
                <pt idx="3">
                  <v>White</v>
                </pt>
                <pt idx="4">
                  <v>Boston</v>
                </pt>
              </strCache>
            </strRef>
          </cat>
          <val>
            <numRef>
              <f>'OUTPUT-3'!$A$14:$E$14</f>
              <numCache>
                <formatCode>General</formatCode>
                <ptCount val="5"/>
                <pt idx="0">
                  <v>110.8</v>
                </pt>
                <pt idx="1">
                  <v>156.3</v>
                </pt>
                <pt idx="2">
                  <v>88.40000000000001</v>
                </pt>
                <pt idx="3">
                  <v>131.2</v>
                </pt>
                <pt idx="4">
                  <v>125.3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3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Asian</v>
                  </pt>
                  <pt idx="1">
                    <v>Black</v>
                  </pt>
                  <pt idx="2">
                    <v>Latinx</v>
                  </pt>
                  <pt idx="3">
                    <v>White</v>
                  </pt>
                  <pt idx="4">
                    <v>Boston</v>
                  </pt>
                  <pt idx="5">
                    <v>Asian</v>
                  </pt>
                  <pt idx="6">
                    <v>Black</v>
                  </pt>
                  <pt idx="7">
                    <v>Latinx</v>
                  </pt>
                  <pt idx="8">
                    <v>White</v>
                  </pt>
                  <pt idx="9">
                    <v>Boston</v>
                  </pt>
                </lvl>
                <lvl>
                  <pt idx="0">
                    <v>Female</v>
                  </pt>
                  <pt idx="5">
                    <v>Male</v>
                  </pt>
                </lvl>
              </multiLvlStrCache>
              <f>'OUTPUT-4'!$B$3:$K$4</f>
            </multiLvlStrRef>
          </cat>
          <val>
            <numRef>
              <f>'OUTPUT-4'!$B$5:$K$5</f>
              <numCache>
                <formatCode>General</formatCode>
                <ptCount val="10"/>
                <pt idx="0">
                  <v>90.09999999999999</v>
                </pt>
                <pt idx="1">
                  <v>133.9</v>
                </pt>
                <pt idx="2">
                  <formatCode>0.0</formatCode>
                  <v>70</v>
                </pt>
                <pt idx="3">
                  <formatCode>0.0</formatCode>
                  <v>118</v>
                </pt>
                <pt idx="4">
                  <v>108.2</v>
                </pt>
                <pt idx="5">
                  <v>138.6</v>
                </pt>
                <pt idx="6">
                  <v>193.8</v>
                </pt>
                <pt idx="7">
                  <v>119.6</v>
                </pt>
                <pt idx="8">
                  <v>150.6</v>
                </pt>
                <pt idx="9">
                  <v>150.6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'OUTPUT-6'!$B$5:$D$5</f>
              <strCache>
                <ptCount val="3"/>
                <pt idx="0">
                  <v>Asian</v>
                </pt>
                <pt idx="1">
                  <v>White</v>
                </pt>
                <pt idx="2">
                  <v>Boston</v>
                </pt>
              </strCache>
            </strRef>
          </cat>
          <val>
            <numRef>
              <f>'OUTPUT-6'!$B$6:$D$6</f>
              <numCache>
                <formatCode>General</formatCode>
                <ptCount val="3"/>
                <pt idx="0">
                  <v>4.8</v>
                </pt>
                <pt idx="1">
                  <v>5.5</v>
                </pt>
                <pt idx="2">
                  <v>7.8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'OUTPUT-6'!$B$30:$D$30</f>
              <strCache>
                <ptCount val="3"/>
                <pt idx="0">
                  <v>Black</v>
                </pt>
                <pt idx="1">
                  <v>White</v>
                </pt>
                <pt idx="2">
                  <v>Boston</v>
                </pt>
              </strCache>
            </strRef>
          </cat>
          <val>
            <numRef>
              <f>'OUTPUT-6'!$B$31:$D$31</f>
              <numCache>
                <formatCode>General</formatCode>
                <ptCount val="3"/>
                <pt idx="0">
                  <v>13.6</v>
                </pt>
                <pt idx="1">
                  <v>5.5</v>
                </pt>
                <pt idx="2">
                  <v>7.8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'OUTPUT-6'!$B$55:$D$55</f>
              <strCache>
                <ptCount val="3"/>
                <pt idx="0">
                  <v>Latinx</v>
                </pt>
                <pt idx="1">
                  <v>White</v>
                </pt>
                <pt idx="2">
                  <v>Boston</v>
                </pt>
              </strCache>
            </strRef>
          </cat>
          <val>
            <numRef>
              <f>'OUTPUT-6'!$B$56:$D$56</f>
              <numCache>
                <formatCode>General</formatCode>
                <ptCount val="3"/>
                <pt idx="0">
                  <v>7.5</v>
                </pt>
                <pt idx="1">
                  <v>5.5</v>
                </pt>
                <pt idx="2">
                  <v>7.8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352425</colOff>
      <row>8</row>
      <rowOff>52387</rowOff>
    </from>
    <to>
      <col>5</col>
      <colOff>114300</colOff>
      <row>25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257175</colOff>
      <row>37</row>
      <rowOff>28575</rowOff>
    </from>
    <to>
      <col>5</col>
      <colOff>19050</colOff>
      <row>54</row>
      <rowOff>4763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219075</colOff>
      <row>65</row>
      <rowOff>142875</rowOff>
    </from>
    <to>
      <col>4</col>
      <colOff>1114425</colOff>
      <row>82</row>
      <rowOff>119063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133350</colOff>
      <row>16</row>
      <rowOff>76200</rowOff>
    </from>
    <to>
      <col>7</col>
      <colOff>438150</colOff>
      <row>30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238125</colOff>
      <row>8</row>
      <rowOff>28575</rowOff>
    </from>
    <to>
      <col>10</col>
      <colOff>9525</colOff>
      <row>25</row>
      <rowOff>142875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28575</colOff>
      <row>8</row>
      <rowOff>142875</rowOff>
    </from>
    <to>
      <col>6</col>
      <colOff>228600</colOff>
      <row>23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85725</colOff>
      <row>33</row>
      <rowOff>104775</rowOff>
    </from>
    <to>
      <col>6</col>
      <colOff>285750</colOff>
      <row>47</row>
      <rowOff>180975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152400</colOff>
      <row>57</row>
      <rowOff>123825</rowOff>
    </from>
    <to>
      <col>6</col>
      <colOff>352425</colOff>
      <row>72</row>
      <rowOff>9525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J65"/>
  <sheetViews>
    <sheetView topLeftCell="A43" zoomScale="125" workbookViewId="0">
      <selection activeCell="A61" sqref="A61:J63"/>
    </sheetView>
  </sheetViews>
  <sheetFormatPr baseColWidth="10" defaultColWidth="8.83203125" defaultRowHeight="15"/>
  <cols>
    <col width="20.33203125" customWidth="1" min="1" max="1"/>
    <col width="15.33203125" customWidth="1" min="2" max="2"/>
    <col width="16.33203125" customWidth="1" min="3" max="3"/>
    <col width="15" customWidth="1" min="4" max="4"/>
    <col width="17" customWidth="1" min="5" max="5"/>
    <col width="24.5" customWidth="1" min="6" max="6"/>
  </cols>
  <sheetData>
    <row r="1">
      <c r="A1" s="5" t="inlineStr">
        <is>
          <t xml:space="preserve">Chart Set A: Race vs Boston overall and Rest of Boston 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48" t="inlineStr">
        <is>
          <t>Boston</t>
        </is>
      </c>
      <c r="C3" s="49" t="n"/>
      <c r="D3" s="50" t="n"/>
      <c r="E3" s="48" t="inlineStr">
        <is>
          <t>Female</t>
        </is>
      </c>
      <c r="F3" s="49" t="n"/>
      <c r="G3" s="50" t="n"/>
      <c r="H3" s="38" t="inlineStr">
        <is>
          <t>Male</t>
        </is>
      </c>
      <c r="I3" s="49" t="n"/>
      <c r="J3" s="49" t="n"/>
    </row>
    <row r="4" ht="32" customHeight="1">
      <c r="A4" s="6" t="n"/>
      <c r="B4" s="7" t="inlineStr">
        <is>
          <t>Race1</t>
        </is>
      </c>
      <c r="C4" s="7" t="inlineStr">
        <is>
          <t>Rest of Boston</t>
        </is>
      </c>
      <c r="D4" s="7" t="inlineStr">
        <is>
          <t>Boston Overall</t>
        </is>
      </c>
      <c r="E4" s="8" t="inlineStr">
        <is>
          <t>Race1</t>
        </is>
      </c>
      <c r="F4" s="8" t="inlineStr">
        <is>
          <t>Rest of Boston</t>
        </is>
      </c>
      <c r="G4" s="8" t="inlineStr">
        <is>
          <t>Boston Overall</t>
        </is>
      </c>
      <c r="H4" s="8" t="inlineStr">
        <is>
          <t>Race1</t>
        </is>
      </c>
      <c r="I4" s="8" t="inlineStr">
        <is>
          <t>Rest of Boston</t>
        </is>
      </c>
      <c r="J4" s="8" t="inlineStr">
        <is>
          <t>Boston Overall</t>
        </is>
      </c>
    </row>
    <row r="5" ht="16" customHeight="1">
      <c r="A5" s="9" t="inlineStr">
        <is>
          <t>All {disease}</t>
        </is>
      </c>
      <c r="B5" s="10" t="n">
        <v>0</v>
      </c>
      <c r="C5" s="11" t="n">
        <v>0</v>
      </c>
      <c r="D5" s="11" t="n">
        <v>0</v>
      </c>
      <c r="E5" s="10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</row>
    <row r="6">
      <c r="A6" s="6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>
      <c r="A7" s="13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7" customHeight="1">
      <c r="A8" s="14" t="inlineStr">
        <is>
          <t>{title1}</t>
        </is>
      </c>
    </row>
    <row r="33">
      <c r="A33" s="6" t="n"/>
      <c r="B33" s="48" t="inlineStr">
        <is>
          <t>Boston</t>
        </is>
      </c>
      <c r="C33" s="49" t="n"/>
      <c r="D33" s="50" t="n"/>
      <c r="E33" s="48" t="inlineStr">
        <is>
          <t>Female</t>
        </is>
      </c>
      <c r="F33" s="49" t="n"/>
      <c r="G33" s="50" t="n"/>
      <c r="H33" s="38" t="inlineStr">
        <is>
          <t>Male</t>
        </is>
      </c>
      <c r="I33" s="49" t="n"/>
      <c r="J33" s="49" t="n"/>
    </row>
    <row r="34" ht="32" customHeight="1">
      <c r="A34" s="6" t="n"/>
      <c r="B34" s="7" t="inlineStr">
        <is>
          <t>Race2</t>
        </is>
      </c>
      <c r="C34" s="7" t="inlineStr">
        <is>
          <t>Rest of Boston</t>
        </is>
      </c>
      <c r="D34" s="7" t="inlineStr">
        <is>
          <t>Boston Overall</t>
        </is>
      </c>
      <c r="E34" s="8" t="inlineStr">
        <is>
          <t>Race2</t>
        </is>
      </c>
      <c r="F34" s="8" t="inlineStr">
        <is>
          <t>Rest of Boston</t>
        </is>
      </c>
      <c r="G34" s="8" t="inlineStr">
        <is>
          <t>Boston Overall</t>
        </is>
      </c>
      <c r="H34" s="8" t="inlineStr">
        <is>
          <t>Race2</t>
        </is>
      </c>
      <c r="I34" s="8" t="inlineStr">
        <is>
          <t>Rest of Boston</t>
        </is>
      </c>
      <c r="J34" s="8" t="inlineStr">
        <is>
          <t>Boston Overall</t>
        </is>
      </c>
    </row>
    <row r="35" ht="16" customHeight="1">
      <c r="A35" s="9" t="inlineStr">
        <is>
          <t>All {disease}</t>
        </is>
      </c>
      <c r="B35" s="15" t="n">
        <v>0</v>
      </c>
      <c r="C35" s="16" t="n">
        <v>0</v>
      </c>
      <c r="D35" s="16" t="n">
        <v>0</v>
      </c>
      <c r="E35" s="15" t="n">
        <v>0</v>
      </c>
      <c r="F35" s="16" t="n">
        <v>0</v>
      </c>
      <c r="G35" s="16" t="n">
        <v>0</v>
      </c>
      <c r="H35" s="17" t="n">
        <v>0</v>
      </c>
      <c r="I35" s="16" t="n">
        <v>0</v>
      </c>
      <c r="J35" s="16" t="n">
        <v>0</v>
      </c>
    </row>
    <row r="37" ht="17" customHeight="1">
      <c r="A37" s="14" t="inlineStr">
        <is>
          <t>{title2}</t>
        </is>
      </c>
    </row>
    <row r="61">
      <c r="A61" s="6" t="n"/>
      <c r="B61" s="48" t="inlineStr">
        <is>
          <t>Boston</t>
        </is>
      </c>
      <c r="C61" s="49" t="n"/>
      <c r="D61" s="50" t="n"/>
      <c r="E61" s="48" t="inlineStr">
        <is>
          <t>Female</t>
        </is>
      </c>
      <c r="F61" s="49" t="n"/>
      <c r="G61" s="50" t="n"/>
      <c r="H61" s="38" t="inlineStr">
        <is>
          <t>Male</t>
        </is>
      </c>
      <c r="I61" s="49" t="n"/>
      <c r="J61" s="49" t="n"/>
    </row>
    <row r="62" ht="32" customHeight="1">
      <c r="A62" s="6" t="n"/>
      <c r="B62" s="7" t="inlineStr">
        <is>
          <t>Race3</t>
        </is>
      </c>
      <c r="C62" s="7" t="inlineStr">
        <is>
          <t>Rest of Boston</t>
        </is>
      </c>
      <c r="D62" s="7" t="inlineStr">
        <is>
          <t>Boston Overall</t>
        </is>
      </c>
      <c r="E62" s="8" t="inlineStr">
        <is>
          <t>Race3</t>
        </is>
      </c>
      <c r="F62" s="8" t="inlineStr">
        <is>
          <t>Rest of Boston</t>
        </is>
      </c>
      <c r="G62" s="8" t="inlineStr">
        <is>
          <t>Boston Overall</t>
        </is>
      </c>
      <c r="H62" s="8" t="inlineStr">
        <is>
          <t>Race3</t>
        </is>
      </c>
      <c r="I62" s="8" t="inlineStr">
        <is>
          <t>Rest of Boston</t>
        </is>
      </c>
      <c r="J62" s="8" t="inlineStr">
        <is>
          <t>Boston Overall</t>
        </is>
      </c>
    </row>
    <row r="63" ht="15" customHeight="1">
      <c r="A63" s="9" t="inlineStr">
        <is>
          <t>All {disease}</t>
        </is>
      </c>
      <c r="B63" s="15" t="n">
        <v>0</v>
      </c>
      <c r="C63" s="18" t="n">
        <v>0</v>
      </c>
      <c r="D63" s="16" t="n">
        <v>0</v>
      </c>
      <c r="E63" s="15" t="n">
        <v>0</v>
      </c>
      <c r="F63" s="16" t="n">
        <v>0</v>
      </c>
      <c r="G63" s="16" t="n">
        <v>0</v>
      </c>
      <c r="H63" s="17" t="n">
        <v>0</v>
      </c>
      <c r="I63" s="16" t="n">
        <v>0</v>
      </c>
      <c r="J63" s="16" t="n">
        <v>0</v>
      </c>
    </row>
    <row r="65" ht="17" customHeight="1">
      <c r="A65" s="14" t="inlineStr">
        <is>
          <t>{title3}</t>
        </is>
      </c>
    </row>
  </sheetData>
  <mergeCells count="9">
    <mergeCell ref="B33:D33"/>
    <mergeCell ref="H33:J33"/>
    <mergeCell ref="B3:D3"/>
    <mergeCell ref="E33:G33"/>
    <mergeCell ref="B61:D61"/>
    <mergeCell ref="E61:G61"/>
    <mergeCell ref="H61:J61"/>
    <mergeCell ref="E3:G3"/>
    <mergeCell ref="H3:J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E16"/>
  <sheetViews>
    <sheetView workbookViewId="0">
      <selection activeCell="I65" sqref="I65"/>
    </sheetView>
  </sheetViews>
  <sheetFormatPr baseColWidth="10" defaultColWidth="8.83203125" defaultRowHeight="15"/>
  <sheetData>
    <row r="1">
      <c r="A1" s="5" t="n"/>
    </row>
    <row r="2">
      <c r="A2" s="19" t="n"/>
    </row>
    <row r="3">
      <c r="A3" s="19" t="n"/>
    </row>
    <row r="4">
      <c r="A4" s="19" t="n"/>
    </row>
    <row r="5">
      <c r="A5" s="19" t="n"/>
    </row>
    <row r="6">
      <c r="A6" s="19" t="n"/>
    </row>
    <row r="7">
      <c r="A7" s="19" t="n"/>
    </row>
    <row r="8">
      <c r="A8" s="19" t="n"/>
    </row>
    <row r="9">
      <c r="A9" s="19" t="n"/>
    </row>
    <row r="10">
      <c r="A10" s="19" t="n"/>
    </row>
    <row r="13">
      <c r="A13" s="19" t="inlineStr">
        <is>
          <t>Group</t>
        </is>
      </c>
      <c r="B13" t="inlineStr">
        <is>
          <t>Group</t>
        </is>
      </c>
      <c r="C13" t="inlineStr">
        <is>
          <t>Group</t>
        </is>
      </c>
      <c r="D13" t="inlineStr">
        <is>
          <t>Group</t>
        </is>
      </c>
      <c r="E13" t="inlineStr">
        <is>
          <t>Group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6" ht="17" customHeight="1">
      <c r="A16" s="4" t="inlineStr">
        <is>
          <t>{title}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K8"/>
  <sheetViews>
    <sheetView workbookViewId="0">
      <selection activeCell="N73" sqref="N73"/>
    </sheetView>
  </sheetViews>
  <sheetFormatPr baseColWidth="10" defaultColWidth="8.83203125" defaultRowHeight="15"/>
  <cols>
    <col width="13.5" customWidth="1" min="4" max="4"/>
  </cols>
  <sheetData>
    <row r="1">
      <c r="A1" s="5" t="n"/>
    </row>
    <row r="3">
      <c r="B3" s="46" t="inlineStr">
        <is>
          <t>Female</t>
        </is>
      </c>
      <c r="G3" s="46" t="inlineStr">
        <is>
          <t>Male</t>
        </is>
      </c>
    </row>
    <row r="4">
      <c r="B4" t="inlineStr">
        <is>
          <t>Race</t>
        </is>
      </c>
      <c r="C4" t="inlineStr">
        <is>
          <t>Race</t>
        </is>
      </c>
      <c r="D4" t="inlineStr">
        <is>
          <t>Race</t>
        </is>
      </c>
      <c r="E4" t="inlineStr">
        <is>
          <t>White</t>
        </is>
      </c>
      <c r="F4" t="inlineStr">
        <is>
          <t>Boston</t>
        </is>
      </c>
      <c r="G4" t="inlineStr">
        <is>
          <t>Race</t>
        </is>
      </c>
      <c r="H4" t="inlineStr">
        <is>
          <t>Race</t>
        </is>
      </c>
      <c r="I4" t="inlineStr">
        <is>
          <t>Race</t>
        </is>
      </c>
      <c r="J4" t="inlineStr">
        <is>
          <t>White</t>
        </is>
      </c>
      <c r="K4" t="inlineStr">
        <is>
          <t>Boston</t>
        </is>
      </c>
    </row>
    <row r="5">
      <c r="B5" s="23" t="n">
        <v>0</v>
      </c>
      <c r="C5" s="23" t="n">
        <v>0</v>
      </c>
      <c r="D5" s="24" t="n">
        <v>0</v>
      </c>
      <c r="E5" s="25" t="n">
        <v>0</v>
      </c>
      <c r="F5" t="n">
        <v>0</v>
      </c>
      <c r="G5" t="n">
        <v>0</v>
      </c>
      <c r="H5" s="23" t="n">
        <v>0</v>
      </c>
      <c r="I5" s="23" t="n">
        <v>0</v>
      </c>
      <c r="J5" t="n">
        <v>0</v>
      </c>
      <c r="K5" t="n">
        <v>0</v>
      </c>
    </row>
    <row r="8" ht="17" customHeight="1">
      <c r="B8" s="4" t="inlineStr">
        <is>
          <t>{title}</t>
        </is>
      </c>
    </row>
  </sheetData>
  <mergeCells count="2">
    <mergeCell ref="G3:K3"/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D57"/>
  <sheetViews>
    <sheetView topLeftCell="A51" workbookViewId="0">
      <selection activeCell="A1" sqref="A1"/>
    </sheetView>
  </sheetViews>
  <sheetFormatPr baseColWidth="10" defaultColWidth="8.83203125" defaultRowHeight="15"/>
  <cols>
    <col width="12.6640625" customWidth="1" min="1" max="1"/>
    <col width="11.1640625" customWidth="1" min="2" max="2"/>
    <col width="11.5" customWidth="1" min="3" max="3"/>
    <col width="12" customWidth="1" min="4" max="4"/>
  </cols>
  <sheetData>
    <row r="1">
      <c r="A1" s="5" t="inlineStr">
        <is>
          <t xml:space="preserve">Chart Set B: Race vs White residents (reference group) </t>
        </is>
      </c>
    </row>
    <row r="5">
      <c r="B5" t="inlineStr">
        <is>
          <t>Race1</t>
        </is>
      </c>
      <c r="C5" t="inlineStr">
        <is>
          <t>White</t>
        </is>
      </c>
      <c r="D5" t="inlineStr">
        <is>
          <t>Boston</t>
        </is>
      </c>
    </row>
    <row r="6">
      <c r="B6" t="n">
        <v>0</v>
      </c>
      <c r="C6" t="n">
        <v>0</v>
      </c>
      <c r="D6" t="n">
        <v>0</v>
      </c>
    </row>
    <row r="8" ht="17" customHeight="1">
      <c r="A8" s="4" t="inlineStr">
        <is>
          <t>{title1}</t>
        </is>
      </c>
    </row>
    <row r="30">
      <c r="B30" t="inlineStr">
        <is>
          <t>Race2</t>
        </is>
      </c>
      <c r="C30" t="inlineStr">
        <is>
          <t>White</t>
        </is>
      </c>
      <c r="D30" t="inlineStr">
        <is>
          <t>Boston</t>
        </is>
      </c>
    </row>
    <row r="31">
      <c r="B31" s="31" t="n">
        <v>0</v>
      </c>
      <c r="C31" t="n">
        <v>0</v>
      </c>
      <c r="D31" t="n">
        <v>0</v>
      </c>
    </row>
    <row r="33" ht="17" customHeight="1">
      <c r="A33" s="4" t="inlineStr">
        <is>
          <t>{title2}</t>
        </is>
      </c>
    </row>
    <row r="55">
      <c r="B55" t="inlineStr">
        <is>
          <t>Race3</t>
        </is>
      </c>
      <c r="C55" t="inlineStr">
        <is>
          <t>White</t>
        </is>
      </c>
      <c r="D55" t="inlineStr">
        <is>
          <t>Boston</t>
        </is>
      </c>
    </row>
    <row r="56">
      <c r="B56" s="31" t="n">
        <v>0</v>
      </c>
      <c r="C56" t="n">
        <v>0</v>
      </c>
      <c r="D56" t="n">
        <v>0</v>
      </c>
    </row>
    <row r="57" ht="17" customHeight="1">
      <c r="A57" s="4" t="inlineStr">
        <is>
          <t>{title3}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Hansen, Julia</dc:creator>
  <dcterms:created xsi:type="dcterms:W3CDTF">2026-02-27T14:13:23Z</dcterms:created>
  <dcterms:modified xsi:type="dcterms:W3CDTF">2026-04-02T20:59:41Z</dcterms:modified>
  <cp:lastModifiedBy>Lorenzo Tiraboschi</cp:lastModifiedBy>
</cp:coreProperties>
</file>